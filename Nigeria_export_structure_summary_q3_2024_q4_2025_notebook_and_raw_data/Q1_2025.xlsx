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ODUCT RANKING" sheetId="23" r:id="rId1"/>
    <sheet name="COUNTRY RANKING" sheetId="25" r:id="rId2"/>
    <sheet name="RE-EXPORT TABLE" sheetId="3" r:id="rId3"/>
    <sheet name="TABLE 1" sheetId="4" r:id="rId4"/>
    <sheet name="TABLE 2" sheetId="5" r:id="rId5"/>
    <sheet name="TABLE 3" sheetId="6" r:id="rId6"/>
    <sheet name="TABLE 4" sheetId="7" r:id="rId7"/>
    <sheet name="TABLE 5" sheetId="8" r:id="rId8"/>
    <sheet name="TABLE 5B" sheetId="26" r:id="rId9"/>
    <sheet name="TABLE 5C" sheetId="24" r:id="rId10"/>
    <sheet name="TABLE 6" sheetId="9" r:id="rId11"/>
    <sheet name="TABLE 7" sheetId="10" r:id="rId12"/>
    <sheet name="TABLE 8" sheetId="11" r:id="rId13"/>
    <sheet name="TABLE 9" sheetId="12" r:id="rId14"/>
    <sheet name="TABLE 10" sheetId="13" r:id="rId15"/>
    <sheet name="TABLE 13" sheetId="14" r:id="rId16"/>
    <sheet name="TABLE 14" sheetId="15" r:id="rId17"/>
    <sheet name="TABLE 14A" sheetId="16" r:id="rId18"/>
    <sheet name="TABLE 15" sheetId="17" r:id="rId19"/>
    <sheet name="TABLE 16" sheetId="18" r:id="rId20"/>
    <sheet name="TABLE 17" sheetId="19" r:id="rId21"/>
    <sheet name="TABLE 18" sheetId="20" r:id="rId22"/>
    <sheet name="TABLE 19" sheetId="21" r:id="rId23"/>
    <sheet name="TABLE 20" sheetId="2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<sst xmlns="http://schemas.openxmlformats.org/spreadsheetml/2006/main" count="2801" uniqueCount="821">
  <si>
    <t xml:space="preserve"> Top Traded Products In the World  Q1 2025</t>
  </si>
  <si>
    <t xml:space="preserve">Import </t>
  </si>
  <si>
    <t>% share of World Import</t>
  </si>
  <si>
    <t xml:space="preserve">Export </t>
  </si>
  <si>
    <t>% share of World Export</t>
  </si>
  <si>
    <t>HS10</t>
  </si>
  <si>
    <t>Products</t>
  </si>
  <si>
    <t>Value  (₦)</t>
  </si>
  <si>
    <t>2710192100</t>
  </si>
  <si>
    <t>Gas oil</t>
  </si>
  <si>
    <t>2709000000</t>
  </si>
  <si>
    <t>Petroleum oils and oils obtained from bituminous minerals, crude.</t>
  </si>
  <si>
    <t>2710125000</t>
  </si>
  <si>
    <t>Motor spirit, ordinary</t>
  </si>
  <si>
    <t>2711110000</t>
  </si>
  <si>
    <t>Natural gas</t>
  </si>
  <si>
    <t>2711290000</t>
  </si>
  <si>
    <t>Other petroleum gases etc in gaseous state</t>
  </si>
  <si>
    <t>1701141000</t>
  </si>
  <si>
    <t>Cane sugar specified in Subheading Note 2 to Chapter 17, Meant for sugar refinery</t>
  </si>
  <si>
    <t>3102100000</t>
  </si>
  <si>
    <t>Urea, whether or not in aqueous solution</t>
  </si>
  <si>
    <t>1001190000</t>
  </si>
  <si>
    <t>Durum wheat (Not in seeds)</t>
  </si>
  <si>
    <t>1801001200</t>
  </si>
  <si>
    <t>Standard quality Cocoa beans</t>
  </si>
  <si>
    <t>8711201000</t>
  </si>
  <si>
    <t>Motorcycles and cycles fitted with auxiliary motor,petrol fuel, capacity &gt;50&lt;250cc, CKD</t>
  </si>
  <si>
    <t>1801001100</t>
  </si>
  <si>
    <t>Superior quality Cocoa beans</t>
  </si>
  <si>
    <t>8517620000</t>
  </si>
  <si>
    <t>Machines for reception, conversion and transmission ... of voice, images or data.</t>
  </si>
  <si>
    <t>2710191100</t>
  </si>
  <si>
    <t>Kerosine type jet fuel</t>
  </si>
  <si>
    <t>3902100000</t>
  </si>
  <si>
    <t>Polypropylene</t>
  </si>
  <si>
    <t>2711190000</t>
  </si>
  <si>
    <t>Other Liquefied petroleum gases and other gaseous hydrocarbons</t>
  </si>
  <si>
    <t>3808939000</t>
  </si>
  <si>
    <t>Other Herbicides, antisprouting products and plantgr</t>
  </si>
  <si>
    <t>0801310000</t>
  </si>
  <si>
    <t>Cashew nuts In shell</t>
  </si>
  <si>
    <t>8703332000</t>
  </si>
  <si>
    <t>Used Vehicles, with diesel or semidiesel engine, of cylinder capacity &gt;2500cc</t>
  </si>
  <si>
    <t>1207400000</t>
  </si>
  <si>
    <t>Sesamum seeds</t>
  </si>
  <si>
    <t>8541430000</t>
  </si>
  <si>
    <t>Photovoltaic cells assembled in modules or made up into panels</t>
  </si>
  <si>
    <t>2710129000</t>
  </si>
  <si>
    <t>Other Light oils and preparations Not specified or included</t>
  </si>
  <si>
    <t>4011200000</t>
  </si>
  <si>
    <t>New pneumatic tyres, of rubber of a kind used on buses or lorries</t>
  </si>
  <si>
    <t>2711120000</t>
  </si>
  <si>
    <t>Propane</t>
  </si>
  <si>
    <t>8517790000</t>
  </si>
  <si>
    <t>Other Aerials and aerial reflectors of all kinds</t>
  </si>
  <si>
    <t>7108110000</t>
  </si>
  <si>
    <t>Nonmonetary Gold (including gold plated with platinum) in Powder form</t>
  </si>
  <si>
    <t>3811290000</t>
  </si>
  <si>
    <t>Other additives for lubricating oils (excl. with petroleum oils)</t>
  </si>
  <si>
    <t>1804002000</t>
  </si>
  <si>
    <t>Natural cocoa butter</t>
  </si>
  <si>
    <t>3004909000</t>
  </si>
  <si>
    <t>Other medicaments not else where specified</t>
  </si>
  <si>
    <t>2710192300</t>
  </si>
  <si>
    <t>Light fuel oil</t>
  </si>
  <si>
    <t xml:space="preserve"> Top Traded Products In Africa  Q1 2025</t>
  </si>
  <si>
    <t>% share of Africa Import</t>
  </si>
  <si>
    <t>Export</t>
  </si>
  <si>
    <t>% share of Africa Export</t>
  </si>
  <si>
    <t>4101500000</t>
  </si>
  <si>
    <t>Whole hides and skins, of a weight exceeding 16 kg</t>
  </si>
  <si>
    <t>2716000000</t>
  </si>
  <si>
    <t>Electrical energy. (optional heading)</t>
  </si>
  <si>
    <t>3105300000</t>
  </si>
  <si>
    <t>Diammonium hydrogenorthophosphate (diammonium phosphate)</t>
  </si>
  <si>
    <t>8704311990</t>
  </si>
  <si>
    <t xml:space="preserve"> Other Vehicles for goods transport, petrol fuel engine.</t>
  </si>
  <si>
    <t>2520200000</t>
  </si>
  <si>
    <t>Plasters</t>
  </si>
  <si>
    <t>2523100000</t>
  </si>
  <si>
    <t>Cement clinkers</t>
  </si>
  <si>
    <t>3302100000</t>
  </si>
  <si>
    <t>Mixtures of odoriferous substances of a kind used in the food or drink industries</t>
  </si>
  <si>
    <t>2402200000</t>
  </si>
  <si>
    <t>Cigarettes containing tobacco</t>
  </si>
  <si>
    <t>2713200000</t>
  </si>
  <si>
    <t>Petroleum bitumen</t>
  </si>
  <si>
    <t>7612901000</t>
  </si>
  <si>
    <t>Aluminium Cans</t>
  </si>
  <si>
    <t>2710123000</t>
  </si>
  <si>
    <t>Aviation spirit</t>
  </si>
  <si>
    <t>2302300000</t>
  </si>
  <si>
    <t>Bran, sharps and other residues of wheat</t>
  </si>
  <si>
    <t>2501002090</t>
  </si>
  <si>
    <t>Salt for human consumption (bulk&gt;ship load)</t>
  </si>
  <si>
    <t>2711130000</t>
  </si>
  <si>
    <t>Butanes</t>
  </si>
  <si>
    <t>8905900000</t>
  </si>
  <si>
    <t>Lightvessels, firefloats, floating cranes, and other vessels not specified in 8905</t>
  </si>
  <si>
    <t>3824999900</t>
  </si>
  <si>
    <t>Other not elsewhere specified or included in the sub-heading</t>
  </si>
  <si>
    <t>2523290000</t>
  </si>
  <si>
    <t>Other excluding White cement</t>
  </si>
  <si>
    <t>0808100000</t>
  </si>
  <si>
    <t>Apples</t>
  </si>
  <si>
    <t>7311000000</t>
  </si>
  <si>
    <t>Containers for compressed or liquefied gas, of iron or steel.</t>
  </si>
  <si>
    <t>Top Traded Products In West Africa Q1 2025</t>
  </si>
  <si>
    <t>Import</t>
  </si>
  <si>
    <t>% share of West Africa Import</t>
  </si>
  <si>
    <t>% share of West Africa Export</t>
  </si>
  <si>
    <t>1806100000</t>
  </si>
  <si>
    <t>Cocoa powder, containing added sugar or other sweetening matter</t>
  </si>
  <si>
    <t>1511100000</t>
  </si>
  <si>
    <t>Crude palm oil</t>
  </si>
  <si>
    <t>0303540000</t>
  </si>
  <si>
    <t>Mackerel (Scomber scombrus, Scomber australasicus, Scomber japonicus) meat, frozen.</t>
  </si>
  <si>
    <t>3304990000</t>
  </si>
  <si>
    <t>Beauty or makeup preparations and prepar Other</t>
  </si>
  <si>
    <t>0303690000</t>
  </si>
  <si>
    <t>Other Fish of the families not mentioned in this subheadng.</t>
  </si>
  <si>
    <t>0804100000</t>
  </si>
  <si>
    <t>Dates fresh or dried</t>
  </si>
  <si>
    <t>4107990000</t>
  </si>
  <si>
    <t>Other hides and skins not specified.</t>
  </si>
  <si>
    <t>2101110000</t>
  </si>
  <si>
    <t>Extracts, essences and concentrates</t>
  </si>
  <si>
    <t>1517100000</t>
  </si>
  <si>
    <t>Margarine, excluding liquid margarine</t>
  </si>
  <si>
    <t>2710192500</t>
  </si>
  <si>
    <t>Heavy fuel oil II</t>
  </si>
  <si>
    <t>1901100000</t>
  </si>
  <si>
    <t>Preparations for infant use, put up for retail sale</t>
  </si>
  <si>
    <t>Top Traded Products with ECOWAS countries in Q1 2025</t>
  </si>
  <si>
    <t>% share of Ecowas Import</t>
  </si>
  <si>
    <t>% share of Ecowas Export</t>
  </si>
  <si>
    <t>1507100000</t>
  </si>
  <si>
    <t>Crude soyabean oil, whether or not degummed</t>
  </si>
  <si>
    <t>3823190000</t>
  </si>
  <si>
    <t>Industrial monocarboxylic fatty acids n oils from refining nes</t>
  </si>
  <si>
    <t>7211900000</t>
  </si>
  <si>
    <t>Flatrolled Iron/Nonalloy Steel,Wid&lt;600mm,Nes</t>
  </si>
  <si>
    <t>3808911990</t>
  </si>
  <si>
    <t>Other Insecticides Put up for retail sale, Of the ty</t>
  </si>
  <si>
    <t>Top Ten Trading Partners in the World  Q1 2025</t>
  </si>
  <si>
    <t>Ranking</t>
  </si>
  <si>
    <t>Code</t>
  </si>
  <si>
    <t>Country of Destination</t>
  </si>
  <si>
    <t>Value ( ₦ )</t>
  </si>
  <si>
    <t>Crude Oil ( ₦)</t>
  </si>
  <si>
    <t>Non Crude Oil  Value (₦)</t>
  </si>
  <si>
    <t>% Share of World Export</t>
  </si>
  <si>
    <t>Country of Origin</t>
  </si>
  <si>
    <t>% Share of World Import</t>
  </si>
  <si>
    <t>1st</t>
  </si>
  <si>
    <t>IN</t>
  </si>
  <si>
    <t>India</t>
  </si>
  <si>
    <t>CN</t>
  </si>
  <si>
    <t>China</t>
  </si>
  <si>
    <t>2nd</t>
  </si>
  <si>
    <t>NL</t>
  </si>
  <si>
    <t>Netherlands</t>
  </si>
  <si>
    <t>3rd</t>
  </si>
  <si>
    <t>US</t>
  </si>
  <si>
    <t>United States</t>
  </si>
  <si>
    <t>4th</t>
  </si>
  <si>
    <t>FR</t>
  </si>
  <si>
    <t>France</t>
  </si>
  <si>
    <t>5th</t>
  </si>
  <si>
    <t>ES</t>
  </si>
  <si>
    <t>Spain</t>
  </si>
  <si>
    <t>AE</t>
  </si>
  <si>
    <t>United Arab Emirates</t>
  </si>
  <si>
    <t>6th</t>
  </si>
  <si>
    <t>IT</t>
  </si>
  <si>
    <t>Italy</t>
  </si>
  <si>
    <t>BR</t>
  </si>
  <si>
    <t>Brazil</t>
  </si>
  <si>
    <t>7th</t>
  </si>
  <si>
    <t>ID</t>
  </si>
  <si>
    <t>Indonesia</t>
  </si>
  <si>
    <t>SA</t>
  </si>
  <si>
    <t>Saudi Arabia</t>
  </si>
  <si>
    <t>8th</t>
  </si>
  <si>
    <t>CA</t>
  </si>
  <si>
    <t>Canada</t>
  </si>
  <si>
    <t>BE</t>
  </si>
  <si>
    <t>Belgium</t>
  </si>
  <si>
    <t>9th</t>
  </si>
  <si>
    <t>ZA</t>
  </si>
  <si>
    <t>South Africa</t>
  </si>
  <si>
    <t>10th</t>
  </si>
  <si>
    <t>MY</t>
  </si>
  <si>
    <t>Malaysia</t>
  </si>
  <si>
    <t>GB</t>
  </si>
  <si>
    <t>United Kingdom</t>
  </si>
  <si>
    <t>Top Ten Trading Partners in Africa Q1 2025</t>
  </si>
  <si>
    <t>Crude Oil  ( ₦)</t>
  </si>
  <si>
    <t>Non Crude Oil  Value  (  ₦)</t>
  </si>
  <si>
    <t>% Share of Africa Export</t>
  </si>
  <si>
    <t>% Share of Africa Import</t>
  </si>
  <si>
    <t>AO</t>
  </si>
  <si>
    <t>Angola</t>
  </si>
  <si>
    <t>CI</t>
  </si>
  <si>
    <t>Ivory Coast</t>
  </si>
  <si>
    <t>TG</t>
  </si>
  <si>
    <t>Togo</t>
  </si>
  <si>
    <t>SN</t>
  </si>
  <si>
    <t>Senegal Republic</t>
  </si>
  <si>
    <t>DZ</t>
  </si>
  <si>
    <t>Algeria</t>
  </si>
  <si>
    <t>GH</t>
  </si>
  <si>
    <t>Ghana</t>
  </si>
  <si>
    <t>EG</t>
  </si>
  <si>
    <t>Egypt</t>
  </si>
  <si>
    <t>BJ</t>
  </si>
  <si>
    <t>Benin, Republic of</t>
  </si>
  <si>
    <t>TZ</t>
  </si>
  <si>
    <t>Tanzania</t>
  </si>
  <si>
    <t>NE</t>
  </si>
  <si>
    <t>Niger Republic</t>
  </si>
  <si>
    <t>MA</t>
  </si>
  <si>
    <t>Morocco</t>
  </si>
  <si>
    <t>CM</t>
  </si>
  <si>
    <t>Cameroon</t>
  </si>
  <si>
    <t>SZ</t>
  </si>
  <si>
    <t>Swaziland</t>
  </si>
  <si>
    <t>BF</t>
  </si>
  <si>
    <t>Burkina Faso</t>
  </si>
  <si>
    <t>KE</t>
  </si>
  <si>
    <t>Kenya</t>
  </si>
  <si>
    <t>Top Ten Trading Partners in West Africa  Q1 2025</t>
  </si>
  <si>
    <t>% Share of West Africa Export</t>
  </si>
  <si>
    <t>% Share of West Africa Import</t>
  </si>
  <si>
    <t>LR</t>
  </si>
  <si>
    <t>Liberia</t>
  </si>
  <si>
    <t>MR</t>
  </si>
  <si>
    <t>Mauritania</t>
  </si>
  <si>
    <t>SL</t>
  </si>
  <si>
    <t>Sierra Leone</t>
  </si>
  <si>
    <t>ML</t>
  </si>
  <si>
    <t>Mali Republic</t>
  </si>
  <si>
    <t>GW</t>
  </si>
  <si>
    <t>Guinea, Bissau</t>
  </si>
  <si>
    <t>First Quarter 2025 Re-Export by Destination</t>
  </si>
  <si>
    <t>HS Code</t>
  </si>
  <si>
    <t>Description</t>
  </si>
  <si>
    <t>January Value  (₦)</t>
  </si>
  <si>
    <t>February Value  (₦)</t>
  </si>
  <si>
    <t>March Value  (₦)</t>
  </si>
  <si>
    <t>Quarter 1 Value  (₦)</t>
  </si>
  <si>
    <t>2106909900</t>
  </si>
  <si>
    <t>Other Food preparations not elsewhere specified or included.</t>
  </si>
  <si>
    <t>Natural uranium and compounds, alloys, dispersions, ceramic products containing uranium</t>
  </si>
  <si>
    <t>Equatorial Guinea</t>
  </si>
  <si>
    <t>2844300000</t>
  </si>
  <si>
    <t>Uranium, plutonium; alloys, dispersions.. enriched in U 235, thorium/compounds.</t>
  </si>
  <si>
    <t>3811900000</t>
  </si>
  <si>
    <t>Other additives other than for lubricating oils nes</t>
  </si>
  <si>
    <t>Chad Republic</t>
  </si>
  <si>
    <t>3907610000</t>
  </si>
  <si>
    <t>Having a viscosity number of 78 ml/g or higher</t>
  </si>
  <si>
    <t>3915100000</t>
  </si>
  <si>
    <t>Of polymers of ethylene</t>
  </si>
  <si>
    <t>3926901000</t>
  </si>
  <si>
    <t>Articles for fishing</t>
  </si>
  <si>
    <t>4706920000</t>
  </si>
  <si>
    <t>Chemical</t>
  </si>
  <si>
    <t>Thailand</t>
  </si>
  <si>
    <t>4813200000</t>
  </si>
  <si>
    <t>In rolls of a width not exceeding 5 cm</t>
  </si>
  <si>
    <t>4813900000</t>
  </si>
  <si>
    <t>Other cigarette paper whether or not cut to size or in the form of booklets or tubes</t>
  </si>
  <si>
    <t>Turkey</t>
  </si>
  <si>
    <t>7326909000</t>
  </si>
  <si>
    <t>Other articles of iron or steel not specified.</t>
  </si>
  <si>
    <t>7602000000</t>
  </si>
  <si>
    <t>Aluminium waste and scrap.</t>
  </si>
  <si>
    <t>Korea, South</t>
  </si>
  <si>
    <t>8204110000</t>
  </si>
  <si>
    <t>Nonadjustable Handoperated spanners and wrenches</t>
  </si>
  <si>
    <t>8207190000</t>
  </si>
  <si>
    <t>Other Interchangeable Rock drilling or earth boring tools not specified</t>
  </si>
  <si>
    <t>Namibia</t>
  </si>
  <si>
    <t>Gabon Republic</t>
  </si>
  <si>
    <t>8309909000</t>
  </si>
  <si>
    <t>Other articles of heading 83.09 not for pharmaceutical industry</t>
  </si>
  <si>
    <t>8409990000</t>
  </si>
  <si>
    <t>Parts for use principally with diesel or sem-idiesel engines excl. aircraft engine</t>
  </si>
  <si>
    <t>8414590000</t>
  </si>
  <si>
    <t>Other fans not specified</t>
  </si>
  <si>
    <t>8421290000</t>
  </si>
  <si>
    <t>Oil or petrol-filters, not for internal combustion engines</t>
  </si>
  <si>
    <t>Congo</t>
  </si>
  <si>
    <t>8423890000</t>
  </si>
  <si>
    <t>Other Weighing machinery, NES</t>
  </si>
  <si>
    <t>8431390000</t>
  </si>
  <si>
    <t>Parts suitable for use solely with the machinery not specified</t>
  </si>
  <si>
    <t>Qatar</t>
  </si>
  <si>
    <t>8431430000</t>
  </si>
  <si>
    <t>Parts for boring or sinking machinery of subheading 8430.41 or 8430.49</t>
  </si>
  <si>
    <t>8431490000</t>
  </si>
  <si>
    <t>Parts suitable for use solely or princip Other</t>
  </si>
  <si>
    <t>8443391000</t>
  </si>
  <si>
    <t>Copying machines not of subheading 8443.3210.00</t>
  </si>
  <si>
    <t>Georgia</t>
  </si>
  <si>
    <t>8471709000</t>
  </si>
  <si>
    <t>Storage units, presented full built</t>
  </si>
  <si>
    <t>8474320000</t>
  </si>
  <si>
    <t>Machines for mixing mineral substances with bitumen</t>
  </si>
  <si>
    <t>Germany</t>
  </si>
  <si>
    <t>8477100000</t>
  </si>
  <si>
    <t>Injectionmoulding machines</t>
  </si>
  <si>
    <t>8477200000</t>
  </si>
  <si>
    <t>Extruders</t>
  </si>
  <si>
    <t>8479890000</t>
  </si>
  <si>
    <t>Other machines and mechanical appliances having individual functions, nes</t>
  </si>
  <si>
    <t>8483100000</t>
  </si>
  <si>
    <t>Transmission shafts (including cam shafts and crank shafts) and cranks</t>
  </si>
  <si>
    <t>Norway</t>
  </si>
  <si>
    <t>8501510000</t>
  </si>
  <si>
    <t>Other AC motors, multiphase of an output not exceeding 750 W</t>
  </si>
  <si>
    <t>8501520000</t>
  </si>
  <si>
    <t>Other AC motors, multiphase of an output exceeding 750 W but not exceeding 75 kW</t>
  </si>
  <si>
    <t>8502392000</t>
  </si>
  <si>
    <t>Gaspowered generator</t>
  </si>
  <si>
    <t>8504310000</t>
  </si>
  <si>
    <t>Other transformer not specified, having a power handling capacity not exceeding 1 kVA</t>
  </si>
  <si>
    <t>8504409000</t>
  </si>
  <si>
    <t>Other static converters not specified</t>
  </si>
  <si>
    <t>8506500000</t>
  </si>
  <si>
    <t>Primary cells and primary batteries made of Lithium</t>
  </si>
  <si>
    <t>8507600000</t>
  </si>
  <si>
    <t>Lithium-ion accumulators</t>
  </si>
  <si>
    <t>8528739000</t>
  </si>
  <si>
    <t>Reception apparatus for television, monochrome, Presented FBU</t>
  </si>
  <si>
    <t>8905100000</t>
  </si>
  <si>
    <t>Dredgers</t>
  </si>
  <si>
    <t>9015800000</t>
  </si>
  <si>
    <t>Other instruments and appliances for Surveying not specified in 9015</t>
  </si>
  <si>
    <t>9015900000</t>
  </si>
  <si>
    <t>Parts and accessories of Surveying, hydrographic... excluding compasses; rangefinders.</t>
  </si>
  <si>
    <t>Kuwait</t>
  </si>
  <si>
    <t>9022290000</t>
  </si>
  <si>
    <t>Apparatus based on the use of alpha, beta...for other uses not specified in 90.22</t>
  </si>
  <si>
    <t>9026900000</t>
  </si>
  <si>
    <t>Parts and accessoriesof instrument or apparatus for measuring/ checking liquid or gas</t>
  </si>
  <si>
    <t>9027890000</t>
  </si>
  <si>
    <t>Other Instruments and apparatus for physical or chemical analysis NES</t>
  </si>
  <si>
    <t>9030100000</t>
  </si>
  <si>
    <t>Instruments and apparatus for measuring or detecting ionising radiations</t>
  </si>
  <si>
    <t>9030900000</t>
  </si>
  <si>
    <t>Parts and accessories of Instruments/apparatus, designed for telecommunications</t>
  </si>
  <si>
    <t>TOTAL</t>
  </si>
  <si>
    <t>Table 1  Summary of Foreign Trade (₦'Million) Q1 2025</t>
  </si>
  <si>
    <t xml:space="preserve">Imports </t>
  </si>
  <si>
    <t>Exports(fob)</t>
  </si>
  <si>
    <t>Balance</t>
  </si>
  <si>
    <t>Total Trade</t>
  </si>
  <si>
    <t>Crude Oil Exports</t>
  </si>
  <si>
    <t>Non_Crude Oil Exports</t>
  </si>
  <si>
    <t>Non Oils Exports</t>
  </si>
  <si>
    <t>Exports / Total Trade (%)</t>
  </si>
  <si>
    <t>Crude Oil /Total Exports (%)</t>
  </si>
  <si>
    <t>Non Oil Export/Total Export(%)</t>
  </si>
  <si>
    <t>% Change Imports</t>
  </si>
  <si>
    <t>% Change Exports</t>
  </si>
  <si>
    <t>Jan-Dec</t>
  </si>
  <si>
    <t>2021</t>
  </si>
  <si>
    <t>2022</t>
  </si>
  <si>
    <t>2023</t>
  </si>
  <si>
    <t>2024</t>
  </si>
  <si>
    <t>2025</t>
  </si>
  <si>
    <t>Jan-Mar</t>
  </si>
  <si>
    <t>Q1</t>
  </si>
  <si>
    <t>Q2</t>
  </si>
  <si>
    <t>Q3</t>
  </si>
  <si>
    <t>Q4</t>
  </si>
  <si>
    <t>Jan</t>
  </si>
  <si>
    <t>Feb</t>
  </si>
  <si>
    <t xml:space="preserve">Mar   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</si>
  <si>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</si>
  <si>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</si>
  <si>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</si>
  <si>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</si>
  <si>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</si>
  <si>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</si>
  <si>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</si>
  <si>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</si>
  <si>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</si>
  <si>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</t>
  </si>
  <si>
    <t>June</t>
  </si>
  <si>
    <t>July</t>
  </si>
  <si>
    <t>Sept</t>
  </si>
  <si>
    <t>Tab 2 Quarterly Imports By Section (₦'Million) Q1, 2025</t>
  </si>
  <si>
    <t>Jan-Mar 2020</t>
  </si>
  <si>
    <t>Jan-Mar 2021</t>
  </si>
  <si>
    <t>Jan-Mar 2022</t>
  </si>
  <si>
    <t>Jan-Mar 2023</t>
  </si>
  <si>
    <t>Jan-Mar 2024</t>
  </si>
  <si>
    <t>Jan-Mar 2025</t>
  </si>
  <si>
    <t>I. Value (cif N million)</t>
  </si>
  <si>
    <t>Live animals; animal products</t>
  </si>
  <si>
    <t>Vegetable products</t>
  </si>
  <si>
    <t>Animal and vegetable fats and oils and other cleavage prod.</t>
  </si>
  <si>
    <t>Prepared foodstuffs; beverages, spirits and vinegar; tobacco</t>
  </si>
  <si>
    <t>Mineral products</t>
  </si>
  <si>
    <t>Products of the chemical and allied industries</t>
  </si>
  <si>
    <t>Plastic, rubber and articles thereof</t>
  </si>
  <si>
    <t>Raw hides and skins, leather, furskins etc.; saddlery</t>
  </si>
  <si>
    <t>Wood and articles of wood, wood charcoal and articles</t>
  </si>
  <si>
    <t>Paper making material; paper and paperboard, articles</t>
  </si>
  <si>
    <t>Textiles and textile articles</t>
  </si>
  <si>
    <t>Footwear, headgear, umbrellas, sunshades, whips etc.</t>
  </si>
  <si>
    <t>Articles of stone, plaster, cement, asbestos, mica, ceramic</t>
  </si>
  <si>
    <t>Pearls, precious and semi-precious stones, precious metals</t>
  </si>
  <si>
    <t>Base metals and articles of base metals</t>
  </si>
  <si>
    <t>Boilers, machinery and appliances; parts thereof</t>
  </si>
  <si>
    <t>Vehicles, aircraft and parts thereof; vessels etc.</t>
  </si>
  <si>
    <t>Optical, photographic, cinematographic, measuring appliances</t>
  </si>
  <si>
    <t>Arms and ammunition, parts thereof</t>
  </si>
  <si>
    <t>Miscellaneous manufactured articles</t>
  </si>
  <si>
    <t>Works of art, collectors' pieces and antiques</t>
  </si>
  <si>
    <t>Special items not classified according to kind</t>
  </si>
  <si>
    <t>Total</t>
  </si>
  <si>
    <t>ii. Proportion/ Share of Total</t>
  </si>
  <si>
    <t>Tab3: Quarterly Exports By Section (₦'Million) Q1, 2025</t>
  </si>
  <si>
    <t>I. Value (fob N million)</t>
  </si>
  <si>
    <t>Boilers, machinery and chemical appliances; parts thereof</t>
  </si>
  <si>
    <t>Tab4 Imports by Region and Major Trading Partners (₦'million) Q1 2025</t>
  </si>
  <si>
    <t>Africa</t>
  </si>
  <si>
    <t>America</t>
  </si>
  <si>
    <t>Europe</t>
  </si>
  <si>
    <t>Asia</t>
  </si>
  <si>
    <t>Oceania</t>
  </si>
  <si>
    <t>ECOWAS</t>
  </si>
  <si>
    <t>Others</t>
  </si>
  <si>
    <t>USA</t>
  </si>
  <si>
    <t>UK</t>
  </si>
  <si>
    <t>others</t>
  </si>
  <si>
    <t>Japan</t>
  </si>
  <si>
    <t>Tab 5: Exports by Region and Major Trading Partners (N'million) Q1 2025</t>
  </si>
  <si>
    <t>TAb5b: Trade with Selected African Countries   (Export and Import) N'million</t>
  </si>
  <si>
    <t>EXPORT</t>
  </si>
  <si>
    <t>IMPORT</t>
  </si>
  <si>
    <t>REGION</t>
  </si>
  <si>
    <t>COUNTRY</t>
  </si>
  <si>
    <t>Q1 2025</t>
  </si>
  <si>
    <t>Northern Africa</t>
  </si>
  <si>
    <t>Libya</t>
  </si>
  <si>
    <t>Sudan</t>
  </si>
  <si>
    <t>Tunisia</t>
  </si>
  <si>
    <t>West Africa</t>
  </si>
  <si>
    <t>Cape Verde Islands</t>
  </si>
  <si>
    <t>Gambia</t>
  </si>
  <si>
    <t>Guinea, Rep</t>
  </si>
  <si>
    <t>Central Africa</t>
  </si>
  <si>
    <t>Central African Rep</t>
  </si>
  <si>
    <t>Zaire</t>
  </si>
  <si>
    <t>Eastern Africa</t>
  </si>
  <si>
    <t>Burundi</t>
  </si>
  <si>
    <t>Comoros</t>
  </si>
  <si>
    <t>Djibouti</t>
  </si>
  <si>
    <t>Eritrea</t>
  </si>
  <si>
    <t>Ethiopia</t>
  </si>
  <si>
    <t>Madagascar</t>
  </si>
  <si>
    <t>Mauritius</t>
  </si>
  <si>
    <t>Mozambique</t>
  </si>
  <si>
    <t>Reunion Island</t>
  </si>
  <si>
    <t>Rwanda</t>
  </si>
  <si>
    <t>Seychelles</t>
  </si>
  <si>
    <t>Somalia Republic</t>
  </si>
  <si>
    <t>South Sudan</t>
  </si>
  <si>
    <t>Uganda</t>
  </si>
  <si>
    <t>Zimbabwe</t>
  </si>
  <si>
    <t>Southern Africa</t>
  </si>
  <si>
    <t>Botswana</t>
  </si>
  <si>
    <t>Lesotho</t>
  </si>
  <si>
    <t>Malawi</t>
  </si>
  <si>
    <t>Zambia</t>
  </si>
  <si>
    <t>* Not a member of ECOWAS</t>
  </si>
  <si>
    <t>Tab 5C: Nigeria's Top Trading Partners by Products in the World Q1 2025 (N'million)</t>
  </si>
  <si>
    <t>Products Description</t>
  </si>
  <si>
    <t>Value (₦'million)</t>
  </si>
  <si>
    <t>Value( ₦'million)</t>
  </si>
  <si>
    <t>CHINA</t>
  </si>
  <si>
    <t>INDIA</t>
  </si>
  <si>
    <t>Other Aerials and aerial reflectors of all kinds; parts suitable for use therewith</t>
  </si>
  <si>
    <t>Of a kind used on buses or lorries</t>
  </si>
  <si>
    <t>THE NETHERLANDS</t>
  </si>
  <si>
    <t>8479200000</t>
  </si>
  <si>
    <t>Machinery for the extraction or preparation of animal or fixed vegetable fats or oils</t>
  </si>
  <si>
    <t>3004200000</t>
  </si>
  <si>
    <t>Containing other antibiotics</t>
  </si>
  <si>
    <t xml:space="preserve">US </t>
  </si>
  <si>
    <t>THE UNITED STATES</t>
  </si>
  <si>
    <t>UNITED STATES</t>
  </si>
  <si>
    <t>1201900000</t>
  </si>
  <si>
    <t>Soya beans (excluding seedss)</t>
  </si>
  <si>
    <t>FRANCE</t>
  </si>
  <si>
    <t>0303510000</t>
  </si>
  <si>
    <t>Herrings (Clupea harengus, Clupea pallasii) meat, frozen.</t>
  </si>
  <si>
    <t>0303680000</t>
  </si>
  <si>
    <t>Blue whitings (Micromesistius poutassou, Micromesistius australis) meat, frozen.</t>
  </si>
  <si>
    <t>3815120000</t>
  </si>
  <si>
    <t>With precious metal or precious metal compounds as the active substance</t>
  </si>
  <si>
    <t>0306170000</t>
  </si>
  <si>
    <t>Other Frozen shrimps and prawns</t>
  </si>
  <si>
    <t>UNITED ARAB EMIRATE</t>
  </si>
  <si>
    <t>SPAIN</t>
  </si>
  <si>
    <t>1005900000</t>
  </si>
  <si>
    <t>Maize (corn), (not in seed)</t>
  </si>
  <si>
    <t>8701951990</t>
  </si>
  <si>
    <t>Agricultural Tractor</t>
  </si>
  <si>
    <t>1001990000</t>
  </si>
  <si>
    <t>Meslin (Not in seeds)</t>
  </si>
  <si>
    <t>1005100000</t>
  </si>
  <si>
    <t>Maize (corn) Seed</t>
  </si>
  <si>
    <t>Nigeria's Top Trading Partners by Products In Africa Q1 2025 (N'million)</t>
  </si>
  <si>
    <t>Value( ₦)</t>
  </si>
  <si>
    <t>ANGOLA</t>
  </si>
  <si>
    <t>SOUTH AFRICA</t>
  </si>
  <si>
    <t>7202300000</t>
  </si>
  <si>
    <t>Ferro-silico-manganese</t>
  </si>
  <si>
    <t>4001220000</t>
  </si>
  <si>
    <t>Technically specified natural rubber (TSNR)</t>
  </si>
  <si>
    <t>0801320000</t>
  </si>
  <si>
    <t>Cashew nuts Shelled</t>
  </si>
  <si>
    <t>8413700000</t>
  </si>
  <si>
    <t>Other centrifugal pumps</t>
  </si>
  <si>
    <t>6704190000</t>
  </si>
  <si>
    <t>Other False beards, eyebrows eyelashes of synthetic textile materials not complete wig</t>
  </si>
  <si>
    <t>TOGO</t>
  </si>
  <si>
    <t>IVORY COAST</t>
  </si>
  <si>
    <t>4907000000</t>
  </si>
  <si>
    <t>Unused postage, revenue or similar stamps of current or new</t>
  </si>
  <si>
    <t xml:space="preserve"> Other Vehicles for goods transport, petrol fuel eng.,g.v.w.=&lt;5tonne,excl. dumpers,CKD</t>
  </si>
  <si>
    <t>SENEGAL</t>
  </si>
  <si>
    <t>3901200000</t>
  </si>
  <si>
    <t>Polyethylene having a specific gravity of 0.94 or more</t>
  </si>
  <si>
    <t>8507200000</t>
  </si>
  <si>
    <t>Other lead-acid accumulators not specified</t>
  </si>
  <si>
    <t>2905120000</t>
  </si>
  <si>
    <t>Propan1ol (propyl alcohol) and propan2ol (isopropyl alcohol)</t>
  </si>
  <si>
    <t>ALGERIA</t>
  </si>
  <si>
    <t>6809110000</t>
  </si>
  <si>
    <t>Articles of plaster or of based on plaster faced or reinforced with paper/paperboard.</t>
  </si>
  <si>
    <t>Electrical energy</t>
  </si>
  <si>
    <t>2804290000</t>
  </si>
  <si>
    <t>Other Rare gases, Not specified or included</t>
  </si>
  <si>
    <t>1212920000</t>
  </si>
  <si>
    <t>Locust beans (carob)</t>
  </si>
  <si>
    <t>EGYPT</t>
  </si>
  <si>
    <t>GHANA</t>
  </si>
  <si>
    <t>2710192400</t>
  </si>
  <si>
    <t>Heavy fuel oil I</t>
  </si>
  <si>
    <t>8504230000</t>
  </si>
  <si>
    <t>Liquid dielectric transformers, having a power handling capacity exceeding 10,000 kVA</t>
  </si>
  <si>
    <t>3907610061</t>
  </si>
  <si>
    <t xml:space="preserve"> Amorphous PET chips</t>
  </si>
  <si>
    <t>Nigeria's Top Trading Partners by Products In West Africa Q1 2025 (N'million)</t>
  </si>
  <si>
    <t>Flatrolled Iron/Nonalloy Steel,Wid&lt;600mm,NES</t>
  </si>
  <si>
    <t>2104109000</t>
  </si>
  <si>
    <t>Other Soups and broths and preparations therefor not specified.</t>
  </si>
  <si>
    <t>LIBERIA</t>
  </si>
  <si>
    <t>Other Vehicles, with petrol fuel engine, of cylinder capacity&gt;1,000=&lt;1500cc, presented CKD</t>
  </si>
  <si>
    <t>8422300000</t>
  </si>
  <si>
    <t>Machinery for filling, closing, sealing, or labelling bot</t>
  </si>
  <si>
    <t>8708990000</t>
  </si>
  <si>
    <t>other parts of motor vehicle not specified in 8708</t>
  </si>
  <si>
    <t>MAURITANIA</t>
  </si>
  <si>
    <t>BENIN REP</t>
  </si>
  <si>
    <t>1207991000</t>
  </si>
  <si>
    <t>Shea nuts (karate nuts)</t>
  </si>
  <si>
    <t>Other Prefabricated buildings</t>
  </si>
  <si>
    <t>0303550000</t>
  </si>
  <si>
    <t>Jack and horse mackerel (Trachurus spp.) meat, frozen.</t>
  </si>
  <si>
    <t>3824400000</t>
  </si>
  <si>
    <t>Prepared additives for cements, mortars or concretes</t>
  </si>
  <si>
    <t>0303890000</t>
  </si>
  <si>
    <t>Other Fish, frozen, excluding fish fillets and other not mentioned in this subheading.</t>
  </si>
  <si>
    <t>7321900000</t>
  </si>
  <si>
    <t>Parts of Other Cooking appliances</t>
  </si>
  <si>
    <t>Tab6: Summary of  Imports by SITC (₦'million) Q1, 2025</t>
  </si>
  <si>
    <t xml:space="preserve"> Food &amp; live animals</t>
  </si>
  <si>
    <t xml:space="preserve"> Beverages &amp; tobacco</t>
  </si>
  <si>
    <t xml:space="preserve"> Crude inedible materials</t>
  </si>
  <si>
    <t xml:space="preserve"> Mineral 
fuel etc.</t>
  </si>
  <si>
    <t>Oils, fats 
&amp; waxes</t>
  </si>
  <si>
    <t xml:space="preserve"> Chemicals
 &amp; related products</t>
  </si>
  <si>
    <t xml:space="preserve"> Manufactured goods</t>
  </si>
  <si>
    <t xml:space="preserve"> Machinery  
&amp; transport equipment</t>
  </si>
  <si>
    <t xml:space="preserve"> Miscellaneous manufactured articles</t>
  </si>
  <si>
    <t xml:space="preserve"> Commodities n.e.s.</t>
  </si>
  <si>
    <t>Tab7 Imports Classified by Broad Economic Categories (BEC) (₦'million) Q1, 2025</t>
  </si>
  <si>
    <t xml:space="preserve">2023 </t>
  </si>
  <si>
    <t>a.  Value (₦ million)</t>
  </si>
  <si>
    <t>1  Food and Beverage</t>
  </si>
  <si>
    <t xml:space="preserve">  11  Primary</t>
  </si>
  <si>
    <t xml:space="preserve">     111  Mainly for industry</t>
  </si>
  <si>
    <t xml:space="preserve">     112  Mainly for household consumption</t>
  </si>
  <si>
    <t xml:space="preserve">  12  Processed</t>
  </si>
  <si>
    <t xml:space="preserve">     121  Mainly for industry</t>
  </si>
  <si>
    <t xml:space="preserve">     122  Mainly for household consumption</t>
  </si>
  <si>
    <t>2  Industrial Supplies (nec) 1/</t>
  </si>
  <si>
    <t xml:space="preserve">     21  Primary</t>
  </si>
  <si>
    <t xml:space="preserve">     22  Processed</t>
  </si>
  <si>
    <t>3  Fuels and lubricants</t>
  </si>
  <si>
    <t>31:Fuels and Lubricants, Primary</t>
  </si>
  <si>
    <t>32:Fuels and Lubricants, Processed</t>
  </si>
  <si>
    <t xml:space="preserve">     321  Motor spirit</t>
  </si>
  <si>
    <t xml:space="preserve">     322  Other</t>
  </si>
  <si>
    <t>4  Capital Goods and parts of 2/</t>
  </si>
  <si>
    <t xml:space="preserve">     41  Capital goods</t>
  </si>
  <si>
    <t xml:space="preserve">     42  Parts and accessories</t>
  </si>
  <si>
    <t>5  Transport Equipment and parts</t>
  </si>
  <si>
    <t xml:space="preserve">  51  Passenger motor cars</t>
  </si>
  <si>
    <t xml:space="preserve">  52  Other</t>
  </si>
  <si>
    <t xml:space="preserve">     521  Industrial</t>
  </si>
  <si>
    <t xml:space="preserve">     522  Non-industrial</t>
  </si>
  <si>
    <t xml:space="preserve">  53  Parts and accessories</t>
  </si>
  <si>
    <t>6  Consumer Goods (nec)</t>
  </si>
  <si>
    <t xml:space="preserve">     61  Durable</t>
  </si>
  <si>
    <t xml:space="preserve">     62  Semi-durable</t>
  </si>
  <si>
    <t xml:space="preserve">     63  Non-durable</t>
  </si>
  <si>
    <t>7  Goods not elsewhere specified</t>
  </si>
  <si>
    <t>Total  Imports</t>
  </si>
  <si>
    <t>b.  Proportion/Share of Total</t>
  </si>
  <si>
    <t xml:space="preserve">  31  Primary</t>
  </si>
  <si>
    <t xml:space="preserve">  32  Processed</t>
  </si>
  <si>
    <t>1/   nec: Not elsewhere classified or specified</t>
  </si>
  <si>
    <t>2/   Capital Goods (except for transport equipment) and parts etc.</t>
  </si>
  <si>
    <t>Table 8. SUMMARY OF NIGERIA's  Merchandise Trade Value (N'Billion) Q1, 2025</t>
  </si>
  <si>
    <t>YEAR</t>
  </si>
  <si>
    <t>PERIOD</t>
  </si>
  <si>
    <t>IMPORTS</t>
  </si>
  <si>
    <t>EXPORTS</t>
  </si>
  <si>
    <t>DOMESTIC EXPORT</t>
  </si>
  <si>
    <t>RE-EXPORTS</t>
  </si>
  <si>
    <t>TRADE BALANCE</t>
  </si>
  <si>
    <t>Table 9: Summary of Trade (Exports and Imports) by Sectors (N'million) Q1, 2025</t>
  </si>
  <si>
    <t>GOODS</t>
  </si>
  <si>
    <t>Percetage Share of Goods to Total Exports</t>
  </si>
  <si>
    <t>AGRICULTURE</t>
  </si>
  <si>
    <t xml:space="preserve">RAW MATERIAL </t>
  </si>
  <si>
    <t xml:space="preserve">SOLID MINERAL </t>
  </si>
  <si>
    <t xml:space="preserve">ENERGY </t>
  </si>
  <si>
    <t>MANUFACTURED</t>
  </si>
  <si>
    <t>CRUDE OIL</t>
  </si>
  <si>
    <t>OTHER 0IL PRODUCTS</t>
  </si>
  <si>
    <t xml:space="preserve"> of Agriculture </t>
  </si>
  <si>
    <t xml:space="preserve">of Raw Material </t>
  </si>
  <si>
    <t xml:space="preserve">of Solid Minerals </t>
  </si>
  <si>
    <t xml:space="preserve">of Energy </t>
  </si>
  <si>
    <t>of Manufacturing</t>
  </si>
  <si>
    <t xml:space="preserve">of  Crude oil </t>
  </si>
  <si>
    <t>of Other Oil Products</t>
  </si>
  <si>
    <t>Table 9a:  Summary of   Trade (Exports and Imports) by Sectors (N'million) Q1, 2025</t>
  </si>
  <si>
    <t>Table 10:  Monthly Export, Import  and Total Trade Value by Sectors (N'million)  and Market Shares by Sectors Q1,2025</t>
  </si>
  <si>
    <t>SECTORS</t>
  </si>
  <si>
    <t>JANUARY</t>
  </si>
  <si>
    <t>FEBRUARY</t>
  </si>
  <si>
    <t>MARCH</t>
  </si>
  <si>
    <t>Q1,2025</t>
  </si>
  <si>
    <t>% Share of Total Exports</t>
  </si>
  <si>
    <t>AGRICULTURAL GOODS</t>
  </si>
  <si>
    <t>RAW MATERIAL GOODS</t>
  </si>
  <si>
    <t>SOLID MINERAL GOODS</t>
  </si>
  <si>
    <t>ENERGY GOODS</t>
  </si>
  <si>
    <t>MANUFACTURED GOODS</t>
  </si>
  <si>
    <t>Crude Oil</t>
  </si>
  <si>
    <t>Other Petroleum Oil Products</t>
  </si>
  <si>
    <t>% Share of Total Imports</t>
  </si>
  <si>
    <t>Other Petroleum Oil products</t>
  </si>
  <si>
    <t>TOTAL TRADE</t>
  </si>
  <si>
    <t>% Share of Total Trade</t>
  </si>
  <si>
    <t>Other Petroleum  Oil products</t>
  </si>
  <si>
    <t>Table 13: Major Traded Agricultural Products (N'million) Q1, 2025</t>
  </si>
  <si>
    <t>EXPORTS  Quarter 1, 2025</t>
  </si>
  <si>
    <t>Value N'million</t>
  </si>
  <si>
    <t>1208100000</t>
  </si>
  <si>
    <t>Flours and meals of soya beans</t>
  </si>
  <si>
    <t>0603900000</t>
  </si>
  <si>
    <t>Other cut flowers &amp; flower buds of kind suitable ornamental purposes fresh,dried,dyed</t>
  </si>
  <si>
    <t>1801001900</t>
  </si>
  <si>
    <t>Other quality Cocoa beans not specified in 18.01</t>
  </si>
  <si>
    <t>1515901100</t>
  </si>
  <si>
    <t>Crude Shea (karite) oil</t>
  </si>
  <si>
    <t>1201100000</t>
  </si>
  <si>
    <t>Soya beans Seed</t>
  </si>
  <si>
    <t>0910990000</t>
  </si>
  <si>
    <t>Other spices not elsewhere mentioned.</t>
  </si>
  <si>
    <t>1515500000</t>
  </si>
  <si>
    <t>Sesame oil and its fractions</t>
  </si>
  <si>
    <t>1104300000</t>
  </si>
  <si>
    <t>Germ of cereals, whole, rolled, flaked or ground</t>
  </si>
  <si>
    <t>0713601000</t>
  </si>
  <si>
    <t>Seeds of Pigeon peas (Cajanus cajan)</t>
  </si>
  <si>
    <t>0910300000</t>
  </si>
  <si>
    <t>Turmeric (curcuma)</t>
  </si>
  <si>
    <t>1301200000</t>
  </si>
  <si>
    <t>Gum Arabic</t>
  </si>
  <si>
    <t>0713609000</t>
  </si>
  <si>
    <t>Other pigeon peas not specified.</t>
  </si>
  <si>
    <t>Table 14:  Sectorial Exports to Economic Regions of the World (N'million) Q1 2025</t>
  </si>
  <si>
    <t>Sector</t>
  </si>
  <si>
    <t>Region</t>
  </si>
  <si>
    <t>ECONOMIC REGIONS</t>
  </si>
  <si>
    <t>AFRICA</t>
  </si>
  <si>
    <t>AMERICA</t>
  </si>
  <si>
    <t>ASIA</t>
  </si>
  <si>
    <t>EUROPE</t>
  </si>
  <si>
    <t>OCEANIA</t>
  </si>
  <si>
    <t xml:space="preserve">Crude Oil </t>
  </si>
  <si>
    <t>Other Oil products</t>
  </si>
  <si>
    <t>Table 14a:  Sectorial Imports to Economic Regions of the World (N'million) Q1, 2025 (Monthly)</t>
  </si>
  <si>
    <t>REGIONS</t>
  </si>
  <si>
    <t xml:space="preserve">Crude oil </t>
  </si>
  <si>
    <t>Table 15: Major Traded Agricultural EXPORT/IMPORTS By Direction (N'million)</t>
  </si>
  <si>
    <t>EXPORT QUARTER 1 2025</t>
  </si>
  <si>
    <t>RANKING</t>
  </si>
  <si>
    <t>Product</t>
  </si>
  <si>
    <t>Product Description</t>
  </si>
  <si>
    <t>Country Description</t>
  </si>
  <si>
    <t>Value (N)</t>
  </si>
  <si>
    <t>Vietnam, Soc Republic of</t>
  </si>
  <si>
    <t>Poland</t>
  </si>
  <si>
    <t>Greece</t>
  </si>
  <si>
    <t>Estonia</t>
  </si>
  <si>
    <t>IMPORT QUARTER 1 2025</t>
  </si>
  <si>
    <t>Product description</t>
  </si>
  <si>
    <t>Russia</t>
  </si>
  <si>
    <t>Argentina</t>
  </si>
  <si>
    <t>Latvia</t>
  </si>
  <si>
    <t>Romania</t>
  </si>
  <si>
    <t>Chile</t>
  </si>
  <si>
    <t>Ireland</t>
  </si>
  <si>
    <t>Table 16: Major Traded  Solid Mineral Products Export/Import  by Direction of Trade (N'million)</t>
  </si>
  <si>
    <t>2609000000</t>
  </si>
  <si>
    <t>Tin ores and concentrates.</t>
  </si>
  <si>
    <t>2530900000</t>
  </si>
  <si>
    <t>Other Mineral substances not elsewhere specified or included</t>
  </si>
  <si>
    <t>2608000000</t>
  </si>
  <si>
    <t>Zinc ores and concentrates.</t>
  </si>
  <si>
    <t>2520100000</t>
  </si>
  <si>
    <t>Gypsum; anhydrite</t>
  </si>
  <si>
    <t>2501009000</t>
  </si>
  <si>
    <t>Other salt not specified.</t>
  </si>
  <si>
    <t>Table 17: Major Traded Manufactured Products Export/Import  by Direction of Trade (N'million)</t>
  </si>
  <si>
    <t>EXPORT QUARTER 1, 2025</t>
  </si>
  <si>
    <t>7601200000</t>
  </si>
  <si>
    <t>Unwrought aluminium. alloys</t>
  </si>
  <si>
    <t>Mexico</t>
  </si>
  <si>
    <t>7403110000</t>
  </si>
  <si>
    <t>Cathodes and sections of cathodes</t>
  </si>
  <si>
    <t>7801100000</t>
  </si>
  <si>
    <t>Refined lead</t>
  </si>
  <si>
    <t>IMPORTS  QUARTER 1 2025</t>
  </si>
  <si>
    <t>Taiwan</t>
  </si>
  <si>
    <t>Israel</t>
  </si>
  <si>
    <t>Other Herbicides, antisprouting products and plant</t>
  </si>
  <si>
    <t>Table 18: Major Traded  Raw Material  Products Export/Import  by Direction of Trade (N'million)</t>
  </si>
  <si>
    <t>EXPORT QUARTER 1, 2024</t>
  </si>
  <si>
    <t>Switzerland</t>
  </si>
  <si>
    <t>1806200000</t>
  </si>
  <si>
    <t>Other preparations Cocoa powder in blocks, slabs... in packing exceeding 2kg</t>
  </si>
  <si>
    <t>IMPORT QUARTER 1, 2025</t>
  </si>
  <si>
    <t>Cane sugar meant for sugar refinery</t>
  </si>
  <si>
    <t>3817000000</t>
  </si>
  <si>
    <t>Mixed alkylbenzenes and mixed alkylnaphthalenes, other than</t>
  </si>
  <si>
    <t>4408390000</t>
  </si>
  <si>
    <t>Sheets for veneering (including those ob Other</t>
  </si>
  <si>
    <t>Table 19: TRADE BY MODE OF TRANSPORT (N'million) Q1, 2025</t>
  </si>
  <si>
    <t>DOMESTIC  EXPORT</t>
  </si>
  <si>
    <t>MODE OF TRANSPORT</t>
  </si>
  <si>
    <t>% Share of Domestic Exports</t>
  </si>
  <si>
    <t>MARITIME</t>
  </si>
  <si>
    <t>ROAD</t>
  </si>
  <si>
    <t>AIR</t>
  </si>
  <si>
    <t>OTHER TRANSPORT</t>
  </si>
  <si>
    <t>RE-EXPORT</t>
  </si>
  <si>
    <t>% Share of Re-Exports</t>
  </si>
  <si>
    <t xml:space="preserve"> </t>
  </si>
  <si>
    <t>TOTAL EXPORT</t>
  </si>
  <si>
    <t>TOTAL IMPORT</t>
  </si>
  <si>
    <t>October</t>
  </si>
  <si>
    <t>November</t>
  </si>
  <si>
    <t>December</t>
  </si>
  <si>
    <t>Q4,2024</t>
  </si>
  <si>
    <t>% Share of Total Import</t>
  </si>
  <si>
    <t>TABLE 20: TRADE  BY TOP 10 POSTS/PORTS OF OPERATION  (N'million)</t>
  </si>
  <si>
    <t>Rank</t>
  </si>
  <si>
    <t>PORTS</t>
  </si>
  <si>
    <t xml:space="preserve">Value </t>
  </si>
  <si>
    <t>% Share of Total export</t>
  </si>
  <si>
    <t>01AP</t>
  </si>
  <si>
    <t>APAPA PORT</t>
  </si>
  <si>
    <t>01TC</t>
  </si>
  <si>
    <t>TIN CAN ISLAND</t>
  </si>
  <si>
    <t>05PN</t>
  </si>
  <si>
    <t>PORT HARCOURT(3) Onne</t>
  </si>
  <si>
    <t>01LK</t>
  </si>
  <si>
    <t>LEKKI DEEP SEA PORT</t>
  </si>
  <si>
    <t>01MM</t>
  </si>
  <si>
    <t>MUHAMMED MURTALA INTERNATIONAL</t>
  </si>
  <si>
    <t>05PH</t>
  </si>
  <si>
    <t>PORT HARCOURT(1) Area-1</t>
  </si>
  <si>
    <t>06WR</t>
  </si>
  <si>
    <t>WARRI PORT</t>
  </si>
  <si>
    <t>01SM</t>
  </si>
  <si>
    <t>SEME BORDER POST</t>
  </si>
  <si>
    <t>04SO</t>
  </si>
  <si>
    <t>SOKOTO AREA COMMAND</t>
  </si>
  <si>
    <t>05CA</t>
  </si>
  <si>
    <t>CALABAR</t>
  </si>
  <si>
    <t>% Share of total imports</t>
  </si>
  <si>
    <t>01MC</t>
  </si>
  <si>
    <t>MUHAMMED MURTALA CARGO</t>
  </si>
  <si>
    <t>01PA</t>
  </si>
  <si>
    <t>KIRIKIRI LIGHTER TERMINAL CMD.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</si>
</sst>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#,##0.0"/>
    <numFmt numFmtId="179" formatCode="_-* #,##0_-;\-* #,##0_-;_-* &quot;-&quot;??_-;_-@_-"/>
    <numFmt numFmtId="180" formatCode="_-* #,##0.0_-;\-* #,##0.0_-;_-* &quot;-&quot;??_-;_-@_-"/>
    <numFmt numFmtId="181" formatCode="_-* #,##0.0000000000_-;\-* #,##0.0000000000_-;_-* &quot;-&quot;??_-;_-@_-"/>
    <numFmt numFmtId="182" formatCode="_-#,##0.0_-;\-\ #,##0.0_-;_-\ &quot;-&quot;??_-;_-@_-"/>
    <numFmt numFmtId="183" formatCode="0.0"/>
  </numFmts>
  <fonts count="85"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color indexed="8"/>
      <name val="Calibri"/>
      <charset val="134"/>
    </font>
    <font>
      <i/>
      <sz val="12"/>
      <color theme="1"/>
      <name val="Aptos Narrow"/>
      <charset val="134"/>
      <scheme val="minor"/>
    </font>
    <font>
      <b/>
      <sz val="12"/>
      <color theme="1"/>
      <name val="Calibri Light"/>
      <charset val="134"/>
    </font>
    <font>
      <b/>
      <sz val="14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4"/>
      <name val="Aptos Narrow"/>
      <charset val="134"/>
      <scheme val="minor"/>
    </font>
    <font>
      <sz val="14"/>
      <color indexed="8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sz val="12"/>
      <color indexed="8"/>
      <name val="Aptos Narrow"/>
      <charset val="134"/>
      <scheme val="minor"/>
    </font>
    <font>
      <sz val="16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sz val="14"/>
      <color rgb="FFFF0000"/>
      <name val="Aptos Narrow"/>
      <charset val="134"/>
      <scheme val="minor"/>
    </font>
    <font>
      <sz val="12"/>
      <name val="Aptos Narrow"/>
      <charset val="134"/>
      <scheme val="minor"/>
    </font>
    <font>
      <b/>
      <sz val="12"/>
      <name val="Aptos Narrow"/>
      <charset val="134"/>
      <scheme val="minor"/>
    </font>
    <font>
      <b/>
      <sz val="12"/>
      <color theme="1"/>
      <name val="Arial"/>
      <charset val="134"/>
    </font>
    <font>
      <sz val="12"/>
      <name val="Arial"/>
      <charset val="134"/>
    </font>
    <font>
      <sz val="11"/>
      <name val="Aptos Narrow"/>
      <charset val="134"/>
      <scheme val="minor"/>
    </font>
    <font>
      <b/>
      <sz val="11"/>
      <color theme="1"/>
      <name val="Calibri Light"/>
      <charset val="134"/>
    </font>
    <font>
      <sz val="11"/>
      <color theme="1"/>
      <name val="Aptos Narrow"/>
      <charset val="1"/>
      <scheme val="minor"/>
    </font>
    <font>
      <sz val="11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b/>
      <sz val="14"/>
      <color theme="1"/>
      <name val="Calibri Light"/>
      <charset val="134"/>
    </font>
    <font>
      <sz val="14"/>
      <color theme="1"/>
      <name val="Calibri Light"/>
      <charset val="134"/>
    </font>
    <font>
      <b/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6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2"/>
      <name val="Calibri Light"/>
      <charset val="134"/>
    </font>
    <font>
      <sz val="12"/>
      <color theme="1"/>
      <name val="Calibri Light"/>
      <charset val="134"/>
    </font>
    <font>
      <b/>
      <sz val="11"/>
      <name val="Arial"/>
      <charset val="134"/>
    </font>
    <font>
      <b/>
      <sz val="8"/>
      <color theme="1"/>
      <name val="Aptos Narrow"/>
      <charset val="134"/>
      <scheme val="minor"/>
    </font>
    <font>
      <sz val="12"/>
      <color theme="1"/>
      <name val="Arial Black"/>
      <charset val="134"/>
    </font>
    <font>
      <b/>
      <sz val="11"/>
      <name val="Aptos Narrow"/>
      <charset val="134"/>
      <scheme val="minor"/>
    </font>
    <font>
      <sz val="8"/>
      <name val="Arial"/>
      <charset val="134"/>
    </font>
    <font>
      <b/>
      <sz val="14"/>
      <name val="Arial"/>
      <charset val="134"/>
    </font>
    <font>
      <sz val="14"/>
      <name val="Arial"/>
      <charset val="134"/>
    </font>
    <font>
      <b/>
      <i/>
      <sz val="12"/>
      <name val="Arial"/>
      <charset val="134"/>
    </font>
    <font>
      <b/>
      <sz val="12"/>
      <color rgb="FFFF0000"/>
      <name val="Arial"/>
      <charset val="134"/>
    </font>
    <font>
      <sz val="12"/>
      <color rgb="FFFF0000"/>
      <name val="Aptos Narrow"/>
      <charset val="1"/>
      <scheme val="minor"/>
    </font>
    <font>
      <b/>
      <sz val="16"/>
      <name val="Arial"/>
      <charset val="134"/>
    </font>
    <font>
      <b/>
      <i/>
      <sz val="11"/>
      <name val="Lucida Sans Unicode"/>
      <charset val="134"/>
    </font>
    <font>
      <b/>
      <i/>
      <sz val="11"/>
      <name val="Arial"/>
      <charset val="134"/>
    </font>
    <font>
      <b/>
      <sz val="10"/>
      <name val="Arial"/>
      <charset val="134"/>
    </font>
    <font>
      <sz val="12"/>
      <color rgb="FF000000"/>
      <name val="Aptos Narrow"/>
      <charset val="134"/>
    </font>
    <font>
      <sz val="12"/>
      <color theme="1"/>
      <name val="Aptos Display"/>
      <charset val="134"/>
      <scheme val="major"/>
    </font>
    <font>
      <b/>
      <sz val="16"/>
      <name val="Aptos Narrow"/>
      <charset val="134"/>
      <scheme val="minor"/>
    </font>
    <font>
      <b/>
      <sz val="12"/>
      <color rgb="FFFF0000"/>
      <name val="Aptos Narrow"/>
      <charset val="134"/>
      <scheme val="minor"/>
    </font>
    <font>
      <b/>
      <sz val="11"/>
      <name val="Lucida Sans Unicode"/>
      <charset val="134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sz val="11"/>
      <color theme="1" tint="0.349986266670736"/>
      <name val="Aptos Narrow"/>
      <charset val="134"/>
      <scheme val="minor"/>
    </font>
    <font>
      <b/>
      <sz val="11"/>
      <color theme="1" tint="0.349986266670736"/>
      <name val="Aptos Narrow"/>
      <charset val="134"/>
      <scheme val="minor"/>
    </font>
    <font>
      <b/>
      <sz val="9"/>
      <color rgb="FFFF0000"/>
      <name val="Arial"/>
      <charset val="134"/>
    </font>
    <font>
      <b/>
      <sz val="12"/>
      <color indexed="8"/>
      <name val="Aptos Narrow"/>
      <charset val="134"/>
      <scheme val="minor"/>
    </font>
    <font>
      <sz val="12"/>
      <color rgb="FF000000"/>
      <name val="Calibri"/>
      <charset val="134"/>
    </font>
    <font>
      <sz val="11"/>
      <color rgb="FF000000"/>
      <name val="Aptos Narrow"/>
      <charset val="134"/>
    </font>
    <font>
      <b/>
      <sz val="12"/>
      <color rgb="FFFF0000"/>
      <name val="Calibri"/>
      <charset val="134"/>
    </font>
    <font>
      <sz val="18"/>
      <name val="Arial"/>
      <charset val="134"/>
    </font>
    <font>
      <b/>
      <sz val="18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indexed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auto="1"/>
      </left>
      <right style="thick">
        <color rgb="FF000000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medium">
        <color auto="1"/>
      </top>
      <bottom style="medium">
        <color auto="1"/>
      </bottom>
      <diagonal/>
    </border>
    <border>
      <left style="thick">
        <color rgb="FF000000"/>
      </left>
      <right/>
      <top style="medium">
        <color auto="1"/>
      </top>
      <bottom style="medium">
        <color auto="1"/>
      </bottom>
      <diagonal/>
    </border>
    <border>
      <left style="thick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ck">
        <color rgb="FF000000"/>
      </bottom>
      <diagonal/>
    </border>
    <border>
      <left style="medium">
        <color auto="1"/>
      </left>
      <right style="thick">
        <color rgb="FF000000"/>
      </right>
      <top style="medium">
        <color auto="1"/>
      </top>
      <bottom/>
      <diagonal/>
    </border>
    <border>
      <left style="thick">
        <color rgb="FF000000"/>
      </left>
      <right style="thick">
        <color rgb="FF000000"/>
      </right>
      <top style="medium">
        <color auto="1"/>
      </top>
      <bottom/>
      <diagonal/>
    </border>
    <border>
      <left style="thick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/>
    <xf numFmtId="44" fontId="6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176" fontId="64" fillId="0" borderId="0" applyFont="0" applyFill="0" applyBorder="0" applyAlignment="0" applyProtection="0">
      <alignment vertical="center"/>
    </xf>
    <xf numFmtId="42" fontId="64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4" fillId="6" borderId="137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38" applyNumberFormat="0" applyFill="0" applyAlignment="0" applyProtection="0">
      <alignment vertical="center"/>
    </xf>
    <xf numFmtId="0" fontId="71" fillId="0" borderId="138" applyNumberFormat="0" applyFill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7" borderId="140" applyNumberFormat="0" applyAlignment="0" applyProtection="0">
      <alignment vertical="center"/>
    </xf>
    <xf numFmtId="0" fontId="74" fillId="8" borderId="141" applyNumberFormat="0" applyAlignment="0" applyProtection="0">
      <alignment vertical="center"/>
    </xf>
    <xf numFmtId="0" fontId="75" fillId="8" borderId="140" applyNumberFormat="0" applyAlignment="0" applyProtection="0">
      <alignment vertical="center"/>
    </xf>
    <xf numFmtId="0" fontId="76" fillId="9" borderId="142" applyNumberFormat="0" applyAlignment="0" applyProtection="0">
      <alignment vertical="center"/>
    </xf>
    <xf numFmtId="0" fontId="77" fillId="0" borderId="143" applyNumberFormat="0" applyFill="0" applyAlignment="0" applyProtection="0">
      <alignment vertical="center"/>
    </xf>
    <xf numFmtId="0" fontId="78" fillId="0" borderId="144" applyNumberFormat="0" applyFill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3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84" fillId="0" borderId="0"/>
  </cellStyleXfs>
  <cellXfs count="9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1" fillId="0" borderId="0" xfId="0" applyNumberFormat="1" applyFont="1"/>
    <xf numFmtId="177" fontId="1" fillId="0" borderId="0" xfId="53" applyFont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177" fontId="1" fillId="0" borderId="0" xfId="53" applyFont="1" applyFill="1"/>
    <xf numFmtId="0" fontId="1" fillId="0" borderId="4" xfId="0" applyFont="1" applyBorder="1" applyAlignment="1">
      <alignment horizontal="left"/>
    </xf>
    <xf numFmtId="49" fontId="1" fillId="0" borderId="4" xfId="0" applyNumberFormat="1" applyFont="1" applyBorder="1"/>
    <xf numFmtId="0" fontId="1" fillId="0" borderId="4" xfId="0" applyFont="1" applyBorder="1"/>
    <xf numFmtId="177" fontId="1" fillId="0" borderId="4" xfId="53" applyFont="1" applyFill="1" applyBorder="1"/>
    <xf numFmtId="2" fontId="1" fillId="0" borderId="4" xfId="0" applyNumberFormat="1" applyFont="1" applyBorder="1" applyAlignment="1">
      <alignment horizontal="center"/>
    </xf>
    <xf numFmtId="43" fontId="1" fillId="0" borderId="0" xfId="1" applyFont="1"/>
    <xf numFmtId="43" fontId="2" fillId="0" borderId="0" xfId="1" applyFont="1"/>
    <xf numFmtId="0" fontId="2" fillId="0" borderId="0" xfId="0" applyFont="1"/>
    <xf numFmtId="4" fontId="1" fillId="0" borderId="0" xfId="0" applyNumberFormat="1" applyFont="1"/>
    <xf numFmtId="177" fontId="1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2" fillId="0" borderId="4" xfId="0" applyNumberFormat="1" applyFont="1" applyBorder="1" applyAlignment="1">
      <alignment horizontal="right"/>
    </xf>
    <xf numFmtId="177" fontId="1" fillId="0" borderId="4" xfId="53" applyFont="1" applyBorder="1"/>
    <xf numFmtId="4" fontId="1" fillId="0" borderId="4" xfId="0" applyNumberFormat="1" applyFont="1" applyBorder="1" applyAlignment="1">
      <alignment horizontal="center"/>
    </xf>
    <xf numFmtId="177" fontId="4" fillId="0" borderId="4" xfId="53" applyFont="1" applyBorder="1"/>
    <xf numFmtId="49" fontId="1" fillId="0" borderId="0" xfId="0" applyNumberFormat="1" applyFont="1"/>
    <xf numFmtId="0" fontId="2" fillId="0" borderId="0" xfId="0" applyFont="1" applyAlignment="1">
      <alignment horizontal="center"/>
    </xf>
    <xf numFmtId="177" fontId="5" fillId="0" borderId="4" xfId="53" applyFont="1" applyFill="1" applyBorder="1" applyAlignment="1">
      <alignment horizontal="right"/>
    </xf>
    <xf numFmtId="4" fontId="2" fillId="0" borderId="4" xfId="0" applyNumberFormat="1" applyFont="1" applyBorder="1"/>
    <xf numFmtId="4" fontId="2" fillId="2" borderId="4" xfId="0" applyNumberFormat="1" applyFont="1" applyFill="1" applyBorder="1"/>
    <xf numFmtId="4" fontId="1" fillId="0" borderId="4" xfId="0" applyNumberFormat="1" applyFont="1" applyBorder="1"/>
    <xf numFmtId="0" fontId="1" fillId="0" borderId="1" xfId="0" applyFont="1" applyBorder="1"/>
    <xf numFmtId="4" fontId="2" fillId="0" borderId="0" xfId="0" applyNumberFormat="1" applyFont="1"/>
    <xf numFmtId="177" fontId="2" fillId="2" borderId="4" xfId="53" applyFont="1" applyFill="1" applyBorder="1"/>
    <xf numFmtId="3" fontId="1" fillId="0" borderId="0" xfId="0" applyNumberFormat="1" applyFont="1"/>
    <xf numFmtId="178" fontId="1" fillId="0" borderId="0" xfId="0" applyNumberFormat="1" applyFont="1"/>
    <xf numFmtId="4" fontId="0" fillId="0" borderId="0" xfId="0" applyNumberFormat="1"/>
    <xf numFmtId="177" fontId="0" fillId="0" borderId="0" xfId="53" applyFont="1"/>
    <xf numFmtId="179" fontId="0" fillId="0" borderId="0" xfId="53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9" fontId="0" fillId="0" borderId="0" xfId="0" applyNumberFormat="1"/>
    <xf numFmtId="0" fontId="7" fillId="0" borderId="4" xfId="0" applyFont="1" applyBorder="1"/>
    <xf numFmtId="0" fontId="6" fillId="0" borderId="4" xfId="0" applyFont="1" applyBorder="1" applyAlignment="1">
      <alignment horizontal="center"/>
    </xf>
    <xf numFmtId="4" fontId="7" fillId="0" borderId="4" xfId="0" applyNumberFormat="1" applyFont="1" applyBorder="1"/>
    <xf numFmtId="0" fontId="6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177" fontId="7" fillId="0" borderId="4" xfId="53" applyFont="1" applyFill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177" fontId="7" fillId="0" borderId="4" xfId="53" applyFont="1" applyFill="1" applyBorder="1" applyAlignment="1"/>
    <xf numFmtId="0" fontId="8" fillId="0" borderId="4" xfId="0" applyFont="1" applyBorder="1" applyAlignment="1">
      <alignment horizontal="left"/>
    </xf>
    <xf numFmtId="49" fontId="7" fillId="0" borderId="4" xfId="0" applyNumberFormat="1" applyFont="1" applyBorder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 applyAlignment="1">
      <alignment horizontal="center"/>
    </xf>
    <xf numFmtId="0" fontId="9" fillId="0" borderId="4" xfId="63" applyFont="1" applyBorder="1" applyAlignment="1">
      <alignment horizontal="left"/>
    </xf>
    <xf numFmtId="0" fontId="9" fillId="0" borderId="4" xfId="63" applyFont="1" applyBorder="1"/>
    <xf numFmtId="0" fontId="7" fillId="0" borderId="6" xfId="0" applyFont="1" applyBorder="1"/>
    <xf numFmtId="177" fontId="7" fillId="0" borderId="6" xfId="53" applyFont="1" applyBorder="1" applyAlignment="1"/>
    <xf numFmtId="0" fontId="7" fillId="0" borderId="4" xfId="0" applyFont="1" applyBorder="1" applyAlignment="1">
      <alignment vertical="center"/>
    </xf>
    <xf numFmtId="177" fontId="7" fillId="0" borderId="4" xfId="53" applyFont="1" applyBorder="1" applyAlignment="1"/>
    <xf numFmtId="0" fontId="7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4" fontId="6" fillId="0" borderId="4" xfId="0" applyNumberFormat="1" applyFont="1" applyBorder="1" applyAlignment="1">
      <alignment horizontal="right"/>
    </xf>
    <xf numFmtId="43" fontId="0" fillId="0" borderId="0" xfId="53" applyNumberFormat="1" applyFont="1"/>
    <xf numFmtId="43" fontId="1" fillId="0" borderId="4" xfId="1" applyFont="1" applyFill="1" applyBorder="1"/>
    <xf numFmtId="177" fontId="1" fillId="0" borderId="1" xfId="53" applyFont="1" applyBorder="1"/>
    <xf numFmtId="0" fontId="6" fillId="0" borderId="0" xfId="0" applyFont="1" applyAlignment="1">
      <alignment horizontal="center"/>
    </xf>
    <xf numFmtId="0" fontId="6" fillId="0" borderId="1" xfId="0" applyFont="1" applyBorder="1"/>
    <xf numFmtId="0" fontId="1" fillId="0" borderId="3" xfId="0" applyFont="1" applyBorder="1"/>
    <xf numFmtId="177" fontId="1" fillId="0" borderId="1" xfId="53" applyFont="1" applyFill="1" applyBorder="1"/>
    <xf numFmtId="0" fontId="1" fillId="0" borderId="1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177" fontId="1" fillId="0" borderId="6" xfId="53" applyFont="1" applyBorder="1"/>
    <xf numFmtId="0" fontId="1" fillId="0" borderId="7" xfId="0" applyFont="1" applyBorder="1" applyAlignment="1">
      <alignment horizontal="left"/>
    </xf>
    <xf numFmtId="4" fontId="0" fillId="0" borderId="4" xfId="0" applyNumberForma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4" fontId="10" fillId="0" borderId="4" xfId="0" applyNumberFormat="1" applyFont="1" applyBorder="1"/>
    <xf numFmtId="0" fontId="1" fillId="0" borderId="4" xfId="0" applyFont="1" applyBorder="1" applyAlignment="1">
      <alignment horizontal="center"/>
    </xf>
    <xf numFmtId="43" fontId="0" fillId="0" borderId="0" xfId="1" applyFont="1" applyFill="1"/>
    <xf numFmtId="49" fontId="2" fillId="0" borderId="4" xfId="0" applyNumberFormat="1" applyFont="1" applyBorder="1"/>
    <xf numFmtId="177" fontId="2" fillId="0" borderId="4" xfId="53" applyFont="1" applyFill="1" applyBorder="1"/>
    <xf numFmtId="0" fontId="11" fillId="0" borderId="0" xfId="63" applyFont="1"/>
    <xf numFmtId="0" fontId="2" fillId="0" borderId="4" xfId="0" applyFont="1" applyBorder="1" applyAlignment="1">
      <alignment horizontal="center"/>
    </xf>
    <xf numFmtId="0" fontId="12" fillId="0" borderId="4" xfId="0" applyFont="1" applyBorder="1"/>
    <xf numFmtId="4" fontId="12" fillId="0" borderId="4" xfId="0" applyNumberFormat="1" applyFont="1" applyBorder="1"/>
    <xf numFmtId="0" fontId="0" fillId="0" borderId="0" xfId="0" applyAlignment="1">
      <alignment horizontal="left"/>
    </xf>
    <xf numFmtId="178" fontId="7" fillId="0" borderId="0" xfId="0" applyNumberFormat="1" applyFont="1" applyAlignment="1">
      <alignment horizontal="right"/>
    </xf>
    <xf numFmtId="177" fontId="6" fillId="0" borderId="4" xfId="53" applyFont="1" applyFill="1" applyBorder="1" applyAlignment="1">
      <alignment horizontal="center"/>
    </xf>
    <xf numFmtId="177" fontId="7" fillId="0" borderId="4" xfId="53" applyFont="1" applyFill="1" applyBorder="1"/>
    <xf numFmtId="177" fontId="7" fillId="0" borderId="4" xfId="53" applyFont="1" applyFill="1" applyBorder="1" applyAlignment="1">
      <alignment horizontal="left"/>
    </xf>
    <xf numFmtId="177" fontId="7" fillId="0" borderId="4" xfId="53" applyFont="1" applyFill="1" applyBorder="1" applyAlignment="1">
      <alignment horizontal="right"/>
    </xf>
    <xf numFmtId="177" fontId="6" fillId="0" borderId="4" xfId="53" applyFont="1" applyFill="1" applyBorder="1"/>
    <xf numFmtId="177" fontId="6" fillId="0" borderId="4" xfId="53" applyFont="1" applyFill="1" applyBorder="1" applyAlignment="1">
      <alignment horizontal="left"/>
    </xf>
    <xf numFmtId="177" fontId="6" fillId="0" borderId="4" xfId="53" applyFont="1" applyFill="1" applyBorder="1" applyAlignment="1">
      <alignment horizontal="right"/>
    </xf>
    <xf numFmtId="4" fontId="13" fillId="0" borderId="0" xfId="49" applyNumberFormat="1" applyFont="1" applyFill="1" applyBorder="1"/>
    <xf numFmtId="0" fontId="7" fillId="0" borderId="4" xfId="53" applyNumberFormat="1" applyFont="1" applyFill="1" applyBorder="1" applyAlignment="1">
      <alignment horizontal="center"/>
    </xf>
    <xf numFmtId="0" fontId="7" fillId="0" borderId="0" xfId="49" applyNumberFormat="1" applyFont="1"/>
    <xf numFmtId="177" fontId="7" fillId="0" borderId="1" xfId="53" applyFont="1" applyFill="1" applyBorder="1"/>
    <xf numFmtId="4" fontId="7" fillId="0" borderId="4" xfId="49" applyNumberFormat="1" applyFont="1" applyFill="1" applyBorder="1" applyAlignment="1">
      <alignment horizontal="right"/>
    </xf>
    <xf numFmtId="49" fontId="7" fillId="0" borderId="4" xfId="53" applyNumberFormat="1" applyFont="1" applyFill="1" applyBorder="1"/>
    <xf numFmtId="49" fontId="7" fillId="0" borderId="4" xfId="53" applyNumberFormat="1" applyFont="1" applyFill="1" applyBorder="1" applyAlignment="1">
      <alignment horizontal="left"/>
    </xf>
    <xf numFmtId="43" fontId="7" fillId="0" borderId="4" xfId="49" applyFont="1" applyBorder="1"/>
    <xf numFmtId="0" fontId="7" fillId="0" borderId="0" xfId="49" applyNumberFormat="1" applyFont="1" applyAlignment="1">
      <alignment horizontal="left"/>
    </xf>
    <xf numFmtId="43" fontId="7" fillId="0" borderId="4" xfId="49" applyFont="1" applyBorder="1" applyAlignment="1">
      <alignment horizontal="right"/>
    </xf>
    <xf numFmtId="177" fontId="0" fillId="0" borderId="0" xfId="53" applyFont="1" applyFill="1"/>
    <xf numFmtId="177" fontId="6" fillId="0" borderId="1" xfId="53" applyFont="1" applyFill="1" applyBorder="1" applyAlignment="1">
      <alignment horizontal="center"/>
    </xf>
    <xf numFmtId="177" fontId="6" fillId="0" borderId="2" xfId="53" applyFont="1" applyFill="1" applyBorder="1" applyAlignment="1">
      <alignment horizontal="center"/>
    </xf>
    <xf numFmtId="177" fontId="6" fillId="0" borderId="3" xfId="53" applyFont="1" applyFill="1" applyBorder="1" applyAlignment="1">
      <alignment horizontal="center"/>
    </xf>
    <xf numFmtId="0" fontId="7" fillId="0" borderId="4" xfId="53" applyNumberFormat="1" applyFont="1" applyFill="1" applyBorder="1"/>
    <xf numFmtId="0" fontId="6" fillId="0" borderId="4" xfId="53" applyNumberFormat="1" applyFont="1" applyFill="1" applyBorder="1"/>
    <xf numFmtId="49" fontId="6" fillId="0" borderId="4" xfId="53" applyNumberFormat="1" applyFont="1" applyFill="1" applyBorder="1" applyAlignment="1">
      <alignment horizontal="left"/>
    </xf>
    <xf numFmtId="177" fontId="14" fillId="0" borderId="4" xfId="53" applyFont="1" applyFill="1" applyBorder="1" applyAlignment="1">
      <alignment horizontal="right"/>
    </xf>
    <xf numFmtId="177" fontId="8" fillId="0" borderId="4" xfId="53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15" fillId="0" borderId="0" xfId="0" applyFont="1"/>
    <xf numFmtId="177" fontId="15" fillId="0" borderId="0" xfId="53" applyFont="1" applyFill="1"/>
    <xf numFmtId="0" fontId="16" fillId="0" borderId="8" xfId="0" applyFont="1" applyBorder="1" applyAlignment="1">
      <alignment horizontal="center"/>
    </xf>
    <xf numFmtId="0" fontId="16" fillId="0" borderId="4" xfId="0" applyFont="1" applyBorder="1"/>
    <xf numFmtId="4" fontId="17" fillId="0" borderId="4" xfId="49" applyNumberFormat="1" applyFont="1" applyFill="1" applyBorder="1"/>
    <xf numFmtId="4" fontId="17" fillId="2" borderId="4" xfId="49" applyNumberFormat="1" applyFont="1" applyFill="1" applyBorder="1"/>
    <xf numFmtId="4" fontId="15" fillId="0" borderId="4" xfId="0" applyNumberFormat="1" applyFont="1" applyBorder="1"/>
    <xf numFmtId="0" fontId="15" fillId="0" borderId="4" xfId="0" applyFont="1" applyBorder="1"/>
    <xf numFmtId="177" fontId="18" fillId="0" borderId="9" xfId="53" applyFont="1" applyFill="1" applyBorder="1"/>
    <xf numFmtId="177" fontId="15" fillId="0" borderId="0" xfId="53" applyFont="1" applyFill="1" applyBorder="1"/>
    <xf numFmtId="0" fontId="19" fillId="0" borderId="0" xfId="0" applyFont="1"/>
    <xf numFmtId="177" fontId="19" fillId="0" borderId="0" xfId="53" applyFont="1" applyFill="1"/>
    <xf numFmtId="177" fontId="20" fillId="0" borderId="4" xfId="53" applyFont="1" applyFill="1" applyBorder="1" applyAlignment="1">
      <alignment horizontal="right"/>
    </xf>
    <xf numFmtId="4" fontId="17" fillId="3" borderId="4" xfId="49" applyNumberFormat="1" applyFont="1" applyFill="1" applyBorder="1"/>
    <xf numFmtId="177" fontId="2" fillId="3" borderId="4" xfId="53" applyFont="1" applyFill="1" applyBorder="1"/>
    <xf numFmtId="177" fontId="2" fillId="3" borderId="1" xfId="53" applyFont="1" applyFill="1" applyBorder="1"/>
    <xf numFmtId="43" fontId="21" fillId="0" borderId="0" xfId="1" applyFont="1"/>
    <xf numFmtId="177" fontId="22" fillId="0" borderId="9" xfId="53" applyFont="1" applyFill="1" applyBorder="1"/>
    <xf numFmtId="177" fontId="22" fillId="0" borderId="10" xfId="53" applyFont="1" applyFill="1" applyBorder="1"/>
    <xf numFmtId="177" fontId="22" fillId="0" borderId="4" xfId="53" applyFont="1" applyFill="1" applyBorder="1"/>
    <xf numFmtId="177" fontId="21" fillId="0" borderId="0" xfId="57" applyFont="1"/>
    <xf numFmtId="4" fontId="19" fillId="0" borderId="0" xfId="0" applyNumberFormat="1" applyFont="1"/>
    <xf numFmtId="43" fontId="19" fillId="0" borderId="0" xfId="1" applyFont="1" applyFill="1"/>
    <xf numFmtId="43" fontId="0" fillId="0" borderId="0" xfId="49" applyFont="1"/>
    <xf numFmtId="178" fontId="23" fillId="0" borderId="4" xfId="49" applyNumberFormat="1" applyFont="1" applyFill="1" applyBorder="1"/>
    <xf numFmtId="4" fontId="2" fillId="0" borderId="4" xfId="0" applyNumberFormat="1" applyFont="1" applyBorder="1" applyAlignment="1">
      <alignment horizontal="center"/>
    </xf>
    <xf numFmtId="4" fontId="24" fillId="0" borderId="4" xfId="49" applyNumberFormat="1" applyFont="1" applyFill="1" applyBorder="1"/>
    <xf numFmtId="177" fontId="25" fillId="0" borderId="2" xfId="53" applyFont="1" applyFill="1" applyBorder="1" applyAlignment="1">
      <alignment horizontal="center"/>
    </xf>
    <xf numFmtId="177" fontId="25" fillId="0" borderId="1" xfId="53" applyFont="1" applyFill="1" applyBorder="1" applyAlignment="1">
      <alignment horizontal="center"/>
    </xf>
    <xf numFmtId="177" fontId="25" fillId="0" borderId="3" xfId="53" applyFont="1" applyFill="1" applyBorder="1" applyAlignment="1">
      <alignment horizontal="center"/>
    </xf>
    <xf numFmtId="177" fontId="25" fillId="0" borderId="4" xfId="53" applyFont="1" applyFill="1" applyBorder="1" applyAlignment="1">
      <alignment horizontal="left"/>
    </xf>
    <xf numFmtId="177" fontId="26" fillId="0" borderId="4" xfId="53" applyFont="1" applyFill="1" applyBorder="1" applyAlignment="1">
      <alignment horizontal="right"/>
    </xf>
    <xf numFmtId="177" fontId="26" fillId="0" borderId="4" xfId="53" applyFont="1" applyFill="1" applyBorder="1"/>
    <xf numFmtId="177" fontId="25" fillId="0" borderId="4" xfId="53" applyFont="1" applyFill="1" applyBorder="1" applyAlignment="1">
      <alignment horizontal="right"/>
    </xf>
    <xf numFmtId="43" fontId="7" fillId="0" borderId="0" xfId="0" applyNumberFormat="1" applyFont="1"/>
    <xf numFmtId="177" fontId="26" fillId="0" borderId="4" xfId="53" applyFont="1" applyFill="1" applyBorder="1" applyAlignment="1">
      <alignment horizontal="center"/>
    </xf>
    <xf numFmtId="43" fontId="7" fillId="0" borderId="0" xfId="1" applyFont="1"/>
    <xf numFmtId="177" fontId="25" fillId="3" borderId="4" xfId="53" applyFont="1" applyFill="1" applyBorder="1" applyAlignment="1">
      <alignment horizontal="left"/>
    </xf>
    <xf numFmtId="177" fontId="25" fillId="3" borderId="4" xfId="53" applyFont="1" applyFill="1" applyBorder="1" applyAlignment="1">
      <alignment horizontal="right"/>
    </xf>
    <xf numFmtId="177" fontId="26" fillId="0" borderId="4" xfId="53" applyFont="1" applyFill="1" applyBorder="1" applyAlignment="1">
      <alignment horizontal="left"/>
    </xf>
    <xf numFmtId="177" fontId="26" fillId="0" borderId="1" xfId="53" applyFont="1" applyFill="1" applyBorder="1" applyAlignment="1">
      <alignment horizontal="right"/>
    </xf>
    <xf numFmtId="177" fontId="25" fillId="0" borderId="0" xfId="53" applyFont="1" applyFill="1" applyBorder="1" applyAlignment="1">
      <alignment horizontal="right"/>
    </xf>
    <xf numFmtId="177" fontId="7" fillId="0" borderId="4" xfId="53" applyFont="1" applyBorder="1"/>
    <xf numFmtId="177" fontId="26" fillId="0" borderId="0" xfId="53" applyFont="1" applyFill="1"/>
    <xf numFmtId="177" fontId="25" fillId="0" borderId="6" xfId="53" applyFont="1" applyFill="1" applyBorder="1" applyAlignment="1">
      <alignment horizontal="right"/>
    </xf>
    <xf numFmtId="177" fontId="26" fillId="0" borderId="6" xfId="53" applyFont="1" applyFill="1" applyBorder="1"/>
    <xf numFmtId="177" fontId="25" fillId="0" borderId="1" xfId="53" applyFont="1" applyFill="1" applyBorder="1" applyAlignment="1">
      <alignment horizontal="left"/>
    </xf>
    <xf numFmtId="177" fontId="25" fillId="3" borderId="1" xfId="53" applyFont="1" applyFill="1" applyBorder="1" applyAlignment="1">
      <alignment horizontal="left"/>
    </xf>
    <xf numFmtId="177" fontId="26" fillId="0" borderId="0" xfId="53" applyFont="1" applyFill="1" applyBorder="1"/>
    <xf numFmtId="177" fontId="26" fillId="0" borderId="0" xfId="53" applyFont="1" applyFill="1" applyBorder="1" applyAlignment="1">
      <alignment horizontal="right"/>
    </xf>
    <xf numFmtId="4" fontId="6" fillId="0" borderId="0" xfId="0" applyNumberFormat="1" applyFont="1"/>
    <xf numFmtId="0" fontId="27" fillId="0" borderId="0" xfId="0" applyFont="1"/>
    <xf numFmtId="43" fontId="1" fillId="0" borderId="0" xfId="1" applyFont="1" applyAlignment="1">
      <alignment horizontal="center"/>
    </xf>
    <xf numFmtId="43" fontId="1" fillId="0" borderId="0" xfId="1" applyFont="1" applyFill="1"/>
    <xf numFmtId="0" fontId="28" fillId="0" borderId="0" xfId="0" applyFont="1"/>
    <xf numFmtId="0" fontId="29" fillId="0" borderId="4" xfId="0" applyFont="1" applyBorder="1"/>
    <xf numFmtId="2" fontId="2" fillId="0" borderId="4" xfId="0" applyNumberFormat="1" applyFont="1" applyBorder="1" applyAlignment="1">
      <alignment textRotation="30"/>
    </xf>
    <xf numFmtId="4" fontId="2" fillId="0" borderId="4" xfId="0" applyNumberFormat="1" applyFont="1" applyBorder="1" applyAlignment="1">
      <alignment textRotation="45"/>
    </xf>
    <xf numFmtId="4" fontId="16" fillId="0" borderId="4" xfId="0" applyNumberFormat="1" applyFont="1" applyBorder="1" applyAlignment="1">
      <alignment textRotation="45"/>
    </xf>
    <xf numFmtId="0" fontId="30" fillId="0" borderId="4" xfId="49" applyNumberFormat="1" applyFont="1" applyFill="1" applyBorder="1"/>
    <xf numFmtId="4" fontId="30" fillId="2" borderId="4" xfId="49" applyNumberFormat="1" applyFont="1" applyFill="1" applyBorder="1"/>
    <xf numFmtId="0" fontId="31" fillId="0" borderId="4" xfId="49" applyNumberFormat="1" applyFont="1" applyFill="1" applyBorder="1"/>
    <xf numFmtId="4" fontId="31" fillId="0" borderId="4" xfId="49" applyNumberFormat="1" applyFont="1" applyFill="1" applyBorder="1"/>
    <xf numFmtId="177" fontId="1" fillId="0" borderId="4" xfId="53" applyFont="1" applyFill="1" applyBorder="1" applyAlignment="1"/>
    <xf numFmtId="178" fontId="1" fillId="0" borderId="4" xfId="0" applyNumberFormat="1" applyFont="1" applyBorder="1"/>
    <xf numFmtId="177" fontId="15" fillId="0" borderId="4" xfId="53" applyFont="1" applyFill="1" applyBorder="1" applyAlignment="1"/>
    <xf numFmtId="0" fontId="22" fillId="0" borderId="4" xfId="0" applyFont="1" applyBorder="1" applyAlignment="1">
      <alignment horizontal="right"/>
    </xf>
    <xf numFmtId="4" fontId="22" fillId="0" borderId="4" xfId="0" applyNumberFormat="1" applyFont="1" applyBorder="1" applyAlignment="1">
      <alignment horizontal="right"/>
    </xf>
    <xf numFmtId="4" fontId="24" fillId="0" borderId="4" xfId="49" applyNumberFormat="1" applyFont="1" applyFill="1" applyBorder="1" applyAlignment="1">
      <alignment horizontal="right" vertical="center"/>
    </xf>
    <xf numFmtId="4" fontId="1" fillId="0" borderId="4" xfId="49" applyNumberFormat="1" applyFont="1" applyFill="1" applyBorder="1" applyAlignment="1">
      <alignment horizontal="right"/>
    </xf>
    <xf numFmtId="177" fontId="15" fillId="0" borderId="4" xfId="53" applyFont="1" applyFill="1" applyBorder="1"/>
    <xf numFmtId="177" fontId="1" fillId="0" borderId="4" xfId="0" applyNumberFormat="1" applyFont="1" applyBorder="1"/>
    <xf numFmtId="177" fontId="15" fillId="0" borderId="4" xfId="0" applyNumberFormat="1" applyFont="1" applyBorder="1"/>
    <xf numFmtId="180" fontId="1" fillId="0" borderId="4" xfId="49" applyNumberFormat="1" applyFont="1" applyFill="1" applyBorder="1" applyAlignment="1">
      <alignment horizontal="right"/>
    </xf>
    <xf numFmtId="43" fontId="1" fillId="0" borderId="4" xfId="49" applyFont="1" applyFill="1" applyBorder="1"/>
    <xf numFmtId="0" fontId="1" fillId="0" borderId="4" xfId="49" applyNumberFormat="1" applyFont="1" applyFill="1" applyBorder="1"/>
    <xf numFmtId="177" fontId="32" fillId="0" borderId="4" xfId="53" applyFont="1" applyFill="1" applyBorder="1"/>
    <xf numFmtId="177" fontId="33" fillId="0" borderId="4" xfId="53" applyFont="1" applyFill="1" applyBorder="1"/>
    <xf numFmtId="43" fontId="1" fillId="0" borderId="0" xfId="1" applyFont="1" applyFill="1" applyAlignment="1">
      <alignment horizontal="center"/>
    </xf>
    <xf numFmtId="4" fontId="16" fillId="0" borderId="4" xfId="0" applyNumberFormat="1" applyFont="1" applyBorder="1" applyAlignment="1">
      <alignment horizontal="center"/>
    </xf>
    <xf numFmtId="43" fontId="2" fillId="0" borderId="4" xfId="1" applyFont="1" applyBorder="1" applyAlignment="1">
      <alignment textRotation="45"/>
    </xf>
    <xf numFmtId="43" fontId="2" fillId="0" borderId="4" xfId="1" applyFont="1" applyBorder="1" applyAlignment="1">
      <alignment horizontal="center" textRotation="45"/>
    </xf>
    <xf numFmtId="43" fontId="1" fillId="0" borderId="4" xfId="1" applyFont="1" applyFill="1" applyBorder="1" applyAlignment="1"/>
    <xf numFmtId="4" fontId="16" fillId="0" borderId="4" xfId="0" applyNumberFormat="1" applyFont="1" applyBorder="1"/>
    <xf numFmtId="43" fontId="16" fillId="0" borderId="4" xfId="1" applyFont="1" applyBorder="1" applyAlignment="1">
      <alignment horizontal="right"/>
    </xf>
    <xf numFmtId="43" fontId="16" fillId="0" borderId="4" xfId="1" applyFont="1" applyBorder="1"/>
    <xf numFmtId="43" fontId="31" fillId="0" borderId="4" xfId="1" applyFont="1" applyFill="1" applyBorder="1"/>
    <xf numFmtId="43" fontId="15" fillId="0" borderId="4" xfId="1" applyFont="1" applyFill="1" applyBorder="1" applyAlignment="1">
      <alignment horizontal="right"/>
    </xf>
    <xf numFmtId="4" fontId="22" fillId="0" borderId="4" xfId="0" applyNumberFormat="1" applyFont="1" applyBorder="1" applyAlignment="1">
      <alignment horizontal="right" wrapText="1"/>
    </xf>
    <xf numFmtId="43" fontId="22" fillId="0" borderId="4" xfId="1" applyFont="1" applyBorder="1" applyAlignment="1">
      <alignment horizontal="right" wrapText="1"/>
    </xf>
    <xf numFmtId="43" fontId="24" fillId="0" borderId="4" xfId="1" applyFont="1" applyFill="1" applyBorder="1" applyAlignment="1">
      <alignment horizontal="right" vertical="center"/>
    </xf>
    <xf numFmtId="43" fontId="15" fillId="0" borderId="4" xfId="1" applyFont="1" applyFill="1" applyBorder="1" applyAlignment="1">
      <alignment horizontal="center"/>
    </xf>
    <xf numFmtId="43" fontId="1" fillId="0" borderId="4" xfId="0" applyNumberFormat="1" applyFont="1" applyBorder="1"/>
    <xf numFmtId="43" fontId="1" fillId="0" borderId="4" xfId="1" applyFont="1" applyBorder="1" applyAlignment="1">
      <alignment horizontal="center"/>
    </xf>
    <xf numFmtId="43" fontId="1" fillId="0" borderId="4" xfId="1" applyFont="1" applyFill="1" applyBorder="1" applyAlignment="1">
      <alignment horizontal="center"/>
    </xf>
    <xf numFmtId="2" fontId="1" fillId="0" borderId="4" xfId="53" applyNumberFormat="1" applyFont="1" applyFill="1" applyBorder="1" applyAlignment="1"/>
    <xf numFmtId="4" fontId="16" fillId="0" borderId="0" xfId="0" applyNumberFormat="1" applyFont="1"/>
    <xf numFmtId="178" fontId="0" fillId="0" borderId="0" xfId="0" applyNumberFormat="1"/>
    <xf numFmtId="4" fontId="17" fillId="0" borderId="0" xfId="49" applyNumberFormat="1" applyFont="1" applyFill="1" applyBorder="1"/>
    <xf numFmtId="180" fontId="1" fillId="0" borderId="11" xfId="49" applyNumberFormat="1" applyFont="1" applyFill="1" applyBorder="1" applyAlignment="1">
      <alignment horizontal="right"/>
    </xf>
    <xf numFmtId="177" fontId="32" fillId="0" borderId="11" xfId="53" applyFont="1" applyFill="1" applyBorder="1"/>
    <xf numFmtId="177" fontId="33" fillId="0" borderId="11" xfId="53" applyFont="1" applyFill="1" applyBorder="1"/>
    <xf numFmtId="4" fontId="17" fillId="0" borderId="11" xfId="49" applyNumberFormat="1" applyFont="1" applyFill="1" applyBorder="1"/>
    <xf numFmtId="4" fontId="1" fillId="0" borderId="4" xfId="49" applyNumberFormat="1" applyFont="1" applyFill="1" applyBorder="1"/>
    <xf numFmtId="4" fontId="15" fillId="0" borderId="4" xfId="0" applyNumberFormat="1" applyFont="1" applyBorder="1" applyAlignment="1">
      <alignment horizontal="right" wrapText="1"/>
    </xf>
    <xf numFmtId="0" fontId="17" fillId="0" borderId="4" xfId="49" applyNumberFormat="1" applyFont="1" applyFill="1" applyBorder="1"/>
    <xf numFmtId="0" fontId="34" fillId="0" borderId="4" xfId="0" applyFont="1" applyBorder="1" applyAlignment="1">
      <alignment horizontal="right" wrapText="1"/>
    </xf>
    <xf numFmtId="4" fontId="1" fillId="2" borderId="4" xfId="49" applyNumberFormat="1" applyFont="1" applyFill="1" applyBorder="1"/>
    <xf numFmtId="181" fontId="1" fillId="0" borderId="0" xfId="0" applyNumberFormat="1" applyFont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4" fontId="16" fillId="0" borderId="8" xfId="0" applyNumberFormat="1" applyFont="1" applyBorder="1" applyAlignment="1">
      <alignment horizontal="center"/>
    </xf>
    <xf numFmtId="0" fontId="35" fillId="0" borderId="4" xfId="0" applyFont="1" applyBorder="1" applyAlignment="1">
      <alignment textRotation="45"/>
    </xf>
    <xf numFmtId="0" fontId="2" fillId="0" borderId="4" xfId="0" applyFont="1" applyBorder="1" applyAlignment="1">
      <alignment textRotation="45"/>
    </xf>
    <xf numFmtId="4" fontId="30" fillId="0" borderId="4" xfId="49" applyNumberFormat="1" applyFont="1" applyFill="1" applyBorder="1"/>
    <xf numFmtId="0" fontId="34" fillId="0" borderId="4" xfId="0" applyFont="1" applyBorder="1" applyAlignment="1">
      <alignment horizontal="right"/>
    </xf>
    <xf numFmtId="177" fontId="16" fillId="0" borderId="4" xfId="53" applyFont="1" applyFill="1" applyBorder="1"/>
    <xf numFmtId="0" fontId="30" fillId="2" borderId="4" xfId="49" applyNumberFormat="1" applyFont="1" applyFill="1" applyBorder="1"/>
    <xf numFmtId="43" fontId="30" fillId="2" borderId="4" xfId="1" applyFont="1" applyFill="1" applyBorder="1"/>
    <xf numFmtId="43" fontId="30" fillId="0" borderId="4" xfId="1" applyFont="1" applyFill="1" applyBorder="1"/>
    <xf numFmtId="43" fontId="2" fillId="0" borderId="4" xfId="1" applyFont="1" applyFill="1" applyBorder="1"/>
    <xf numFmtId="43" fontId="27" fillId="0" borderId="0" xfId="0" applyNumberFormat="1" applyFont="1"/>
    <xf numFmtId="43" fontId="22" fillId="0" borderId="4" xfId="1" applyFont="1" applyFill="1" applyBorder="1" applyAlignment="1">
      <alignment horizontal="right" wrapText="1"/>
    </xf>
    <xf numFmtId="0" fontId="35" fillId="0" borderId="4" xfId="0" applyFont="1" applyBorder="1"/>
    <xf numFmtId="43" fontId="1" fillId="0" borderId="11" xfId="1" applyFont="1" applyFill="1" applyBorder="1" applyAlignment="1"/>
    <xf numFmtId="177" fontId="1" fillId="0" borderId="11" xfId="53" applyFont="1" applyFill="1" applyBorder="1" applyAlignment="1"/>
    <xf numFmtId="177" fontId="15" fillId="0" borderId="11" xfId="53" applyFont="1" applyFill="1" applyBorder="1" applyAlignment="1"/>
    <xf numFmtId="43" fontId="15" fillId="0" borderId="11" xfId="1" applyFont="1" applyFill="1" applyBorder="1" applyAlignment="1">
      <alignment horizontal="center"/>
    </xf>
    <xf numFmtId="43" fontId="15" fillId="0" borderId="4" xfId="1" applyFont="1" applyBorder="1" applyAlignment="1">
      <alignment horizontal="right" wrapText="1"/>
    </xf>
    <xf numFmtId="43" fontId="15" fillId="0" borderId="4" xfId="1" applyFont="1" applyBorder="1" applyAlignment="1">
      <alignment horizontal="center" wrapText="1"/>
    </xf>
    <xf numFmtId="43" fontId="2" fillId="0" borderId="4" xfId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7" fillId="0" borderId="0" xfId="0" applyFont="1" applyAlignment="1">
      <alignment textRotation="45"/>
    </xf>
    <xf numFmtId="0" fontId="0" fillId="0" borderId="0" xfId="0" applyAlignment="1">
      <alignment textRotation="45"/>
    </xf>
    <xf numFmtId="43" fontId="27" fillId="0" borderId="0" xfId="1" applyFont="1"/>
    <xf numFmtId="43" fontId="27" fillId="0" borderId="0" xfId="1" applyFont="1" applyFill="1"/>
    <xf numFmtId="43" fontId="17" fillId="0" borderId="0" xfId="1" applyFont="1" applyFill="1" applyBorder="1"/>
    <xf numFmtId="4" fontId="27" fillId="0" borderId="0" xfId="0" applyNumberFormat="1" applyFont="1"/>
    <xf numFmtId="178" fontId="27" fillId="0" borderId="0" xfId="0" applyNumberFormat="1" applyFont="1"/>
    <xf numFmtId="4" fontId="24" fillId="0" borderId="0" xfId="49" applyNumberFormat="1" applyFont="1" applyFill="1" applyBorder="1"/>
    <xf numFmtId="4" fontId="2" fillId="0" borderId="4" xfId="49" applyNumberFormat="1" applyFont="1" applyFill="1" applyBorder="1"/>
    <xf numFmtId="4" fontId="34" fillId="0" borderId="4" xfId="0" applyNumberFormat="1" applyFont="1" applyBorder="1" applyAlignment="1">
      <alignment horizontal="right" wrapText="1"/>
    </xf>
    <xf numFmtId="4" fontId="16" fillId="0" borderId="4" xfId="0" applyNumberFormat="1" applyFont="1" applyBorder="1" applyAlignment="1">
      <alignment horizontal="right" wrapText="1"/>
    </xf>
    <xf numFmtId="4" fontId="34" fillId="0" borderId="0" xfId="0" applyNumberFormat="1" applyFont="1" applyAlignment="1">
      <alignment horizontal="right" wrapText="1"/>
    </xf>
    <xf numFmtId="43" fontId="2" fillId="2" borderId="4" xfId="1" applyFont="1" applyFill="1" applyBorder="1"/>
    <xf numFmtId="0" fontId="36" fillId="0" borderId="1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 textRotation="45"/>
    </xf>
    <xf numFmtId="0" fontId="36" fillId="0" borderId="4" xfId="0" applyFont="1" applyBorder="1" applyAlignment="1">
      <alignment horizontal="left" textRotation="45"/>
    </xf>
    <xf numFmtId="4" fontId="24" fillId="2" borderId="4" xfId="49" applyNumberFormat="1" applyFont="1" applyFill="1" applyBorder="1"/>
    <xf numFmtId="4" fontId="1" fillId="2" borderId="4" xfId="0" applyNumberFormat="1" applyFont="1" applyFill="1" applyBorder="1"/>
    <xf numFmtId="177" fontId="0" fillId="0" borderId="0" xfId="0" applyNumberFormat="1"/>
    <xf numFmtId="177" fontId="0" fillId="0" borderId="0" xfId="53" applyFont="1" applyFill="1" applyBorder="1"/>
    <xf numFmtId="43" fontId="24" fillId="0" borderId="4" xfId="1" applyFont="1" applyFill="1" applyBorder="1"/>
    <xf numFmtId="0" fontId="1" fillId="2" borderId="4" xfId="0" applyFont="1" applyFill="1" applyBorder="1"/>
    <xf numFmtId="177" fontId="1" fillId="2" borderId="4" xfId="53" applyFont="1" applyFill="1" applyBorder="1"/>
    <xf numFmtId="0" fontId="37" fillId="0" borderId="0" xfId="0" applyFont="1"/>
    <xf numFmtId="178" fontId="38" fillId="0" borderId="0" xfId="0" applyNumberFormat="1" applyFont="1"/>
    <xf numFmtId="177" fontId="38" fillId="0" borderId="0" xfId="53" applyFont="1"/>
    <xf numFmtId="178" fontId="39" fillId="0" borderId="1" xfId="0" applyNumberFormat="1" applyFont="1" applyBorder="1" applyAlignment="1">
      <alignment horizontal="center"/>
    </xf>
    <xf numFmtId="178" fontId="39" fillId="0" borderId="2" xfId="0" applyNumberFormat="1" applyFont="1" applyBorder="1" applyAlignment="1">
      <alignment horizontal="center"/>
    </xf>
    <xf numFmtId="178" fontId="40" fillId="0" borderId="4" xfId="0" applyNumberFormat="1" applyFont="1" applyBorder="1"/>
    <xf numFmtId="49" fontId="39" fillId="0" borderId="4" xfId="53" applyNumberFormat="1" applyFont="1" applyFill="1" applyBorder="1" applyAlignment="1">
      <alignment horizontal="right"/>
    </xf>
    <xf numFmtId="177" fontId="39" fillId="0" borderId="4" xfId="53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178" fontId="39" fillId="0" borderId="4" xfId="0" applyNumberFormat="1" applyFont="1" applyBorder="1"/>
    <xf numFmtId="177" fontId="40" fillId="0" borderId="4" xfId="53" applyFont="1" applyBorder="1"/>
    <xf numFmtId="4" fontId="39" fillId="0" borderId="4" xfId="0" applyNumberFormat="1" applyFont="1" applyBorder="1"/>
    <xf numFmtId="4" fontId="39" fillId="0" borderId="4" xfId="49" applyNumberFormat="1" applyFont="1" applyFill="1" applyBorder="1"/>
    <xf numFmtId="177" fontId="23" fillId="0" borderId="4" xfId="53" applyFont="1" applyFill="1" applyBorder="1"/>
    <xf numFmtId="177" fontId="23" fillId="0" borderId="4" xfId="53" applyFont="1" applyFill="1" applyBorder="1" applyAlignment="1">
      <alignment horizontal="right" wrapText="1"/>
    </xf>
    <xf numFmtId="4" fontId="23" fillId="0" borderId="4" xfId="0" applyNumberFormat="1" applyFont="1" applyBorder="1"/>
    <xf numFmtId="177" fontId="41" fillId="0" borderId="4" xfId="53" applyFont="1" applyFill="1" applyBorder="1"/>
    <xf numFmtId="177" fontId="41" fillId="0" borderId="4" xfId="53" applyFont="1" applyFill="1" applyBorder="1" applyAlignment="1">
      <alignment horizontal="right" wrapText="1"/>
    </xf>
    <xf numFmtId="4" fontId="41" fillId="0" borderId="4" xfId="0" applyNumberFormat="1" applyFont="1" applyBorder="1" applyAlignment="1">
      <alignment horizontal="right" wrapText="1"/>
    </xf>
    <xf numFmtId="177" fontId="18" fillId="0" borderId="4" xfId="53" applyFont="1" applyFill="1" applyBorder="1"/>
    <xf numFmtId="177" fontId="18" fillId="0" borderId="4" xfId="53" applyFont="1" applyFill="1" applyBorder="1" applyAlignment="1">
      <alignment horizontal="right" wrapText="1"/>
    </xf>
    <xf numFmtId="4" fontId="18" fillId="0" borderId="4" xfId="0" applyNumberFormat="1" applyFont="1" applyBorder="1" applyAlignment="1">
      <alignment horizontal="right" wrapText="1"/>
    </xf>
    <xf numFmtId="4" fontId="18" fillId="0" borderId="4" xfId="0" applyNumberFormat="1" applyFont="1" applyBorder="1"/>
    <xf numFmtId="4" fontId="23" fillId="0" borderId="4" xfId="0" applyNumberFormat="1" applyFont="1" applyBorder="1" applyAlignment="1">
      <alignment horizontal="right" wrapText="1"/>
    </xf>
    <xf numFmtId="4" fontId="41" fillId="0" borderId="4" xfId="0" applyNumberFormat="1" applyFont="1" applyBorder="1"/>
    <xf numFmtId="43" fontId="39" fillId="0" borderId="4" xfId="1" applyFont="1" applyFill="1" applyBorder="1"/>
    <xf numFmtId="43" fontId="40" fillId="0" borderId="4" xfId="1" applyFont="1" applyFill="1" applyBorder="1"/>
    <xf numFmtId="43" fontId="42" fillId="0" borderId="4" xfId="1" applyFont="1" applyFill="1" applyBorder="1"/>
    <xf numFmtId="43" fontId="23" fillId="0" borderId="4" xfId="1" applyFont="1" applyFill="1" applyBorder="1"/>
    <xf numFmtId="177" fontId="39" fillId="0" borderId="4" xfId="53" applyFont="1" applyBorder="1" applyAlignment="1">
      <alignment horizontal="right" wrapText="1"/>
    </xf>
    <xf numFmtId="4" fontId="39" fillId="0" borderId="4" xfId="0" applyNumberFormat="1" applyFont="1" applyBorder="1" applyAlignment="1">
      <alignment horizontal="right" wrapText="1"/>
    </xf>
    <xf numFmtId="178" fontId="18" fillId="0" borderId="4" xfId="49" applyNumberFormat="1" applyFont="1" applyFill="1" applyBorder="1"/>
    <xf numFmtId="178" fontId="38" fillId="0" borderId="3" xfId="0" applyNumberFormat="1" applyFont="1" applyBorder="1"/>
    <xf numFmtId="178" fontId="39" fillId="0" borderId="3" xfId="0" applyNumberFormat="1" applyFont="1" applyBorder="1" applyAlignment="1">
      <alignment horizontal="center"/>
    </xf>
    <xf numFmtId="4" fontId="39" fillId="0" borderId="1" xfId="0" applyNumberFormat="1" applyFont="1" applyBorder="1"/>
    <xf numFmtId="4" fontId="39" fillId="0" borderId="3" xfId="0" applyNumberFormat="1" applyFont="1" applyBorder="1"/>
    <xf numFmtId="4" fontId="23" fillId="2" borderId="4" xfId="0" applyNumberFormat="1" applyFont="1" applyFill="1" applyBorder="1" applyAlignment="1">
      <alignment horizontal="right" wrapText="1"/>
    </xf>
    <xf numFmtId="43" fontId="43" fillId="0" borderId="0" xfId="1" applyFont="1" applyFill="1"/>
    <xf numFmtId="178" fontId="18" fillId="2" borderId="4" xfId="49" applyNumberFormat="1" applyFont="1" applyFill="1" applyBorder="1"/>
    <xf numFmtId="177" fontId="23" fillId="0" borderId="4" xfId="53" applyFont="1" applyBorder="1" applyAlignment="1">
      <alignment horizontal="right" wrapText="1"/>
    </xf>
    <xf numFmtId="178" fontId="40" fillId="0" borderId="0" xfId="0" applyNumberFormat="1" applyFont="1"/>
    <xf numFmtId="177" fontId="40" fillId="0" borderId="0" xfId="53" applyFont="1"/>
    <xf numFmtId="178" fontId="40" fillId="0" borderId="0" xfId="0" applyNumberFormat="1" applyFont="1" applyAlignment="1">
      <alignment horizontal="left"/>
    </xf>
    <xf numFmtId="0" fontId="44" fillId="0" borderId="0" xfId="0" applyFont="1" applyAlignment="1">
      <alignment horizontal="right"/>
    </xf>
    <xf numFmtId="0" fontId="44" fillId="0" borderId="0" xfId="0" applyFont="1"/>
    <xf numFmtId="3" fontId="44" fillId="0" borderId="0" xfId="0" applyNumberFormat="1" applyFont="1" applyAlignment="1">
      <alignment horizontal="right"/>
    </xf>
    <xf numFmtId="43" fontId="44" fillId="0" borderId="0" xfId="1" applyFont="1" applyAlignment="1">
      <alignment horizontal="right"/>
    </xf>
    <xf numFmtId="4" fontId="22" fillId="0" borderId="0" xfId="0" applyNumberFormat="1" applyFont="1" applyAlignment="1">
      <alignment horizontal="right"/>
    </xf>
    <xf numFmtId="0" fontId="45" fillId="0" borderId="1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34" fillId="0" borderId="4" xfId="0" applyFont="1" applyBorder="1" applyAlignment="1">
      <alignment horizontal="right" textRotation="45" wrapText="1"/>
    </xf>
    <xf numFmtId="178" fontId="34" fillId="0" borderId="4" xfId="0" applyNumberFormat="1" applyFont="1" applyBorder="1" applyAlignment="1">
      <alignment horizontal="center" textRotation="45" wrapText="1"/>
    </xf>
    <xf numFmtId="3" fontId="34" fillId="0" borderId="4" xfId="0" applyNumberFormat="1" applyFont="1" applyBorder="1" applyAlignment="1">
      <alignment horizontal="right" textRotation="45" wrapText="1"/>
    </xf>
    <xf numFmtId="4" fontId="24" fillId="0" borderId="4" xfId="49" applyNumberFormat="1" applyFont="1" applyFill="1" applyBorder="1" applyAlignment="1">
      <alignment horizontal="right"/>
    </xf>
    <xf numFmtId="4" fontId="24" fillId="2" borderId="4" xfId="49" applyNumberFormat="1" applyFont="1" applyFill="1" applyBorder="1" applyAlignment="1">
      <alignment horizontal="right"/>
    </xf>
    <xf numFmtId="17" fontId="46" fillId="0" borderId="4" xfId="0" applyNumberFormat="1" applyFont="1" applyBorder="1"/>
    <xf numFmtId="4" fontId="18" fillId="0" borderId="4" xfId="53" applyNumberFormat="1" applyFont="1" applyFill="1" applyBorder="1" applyAlignment="1">
      <alignment horizontal="right" wrapText="1"/>
    </xf>
    <xf numFmtId="4" fontId="30" fillId="0" borderId="4" xfId="49" applyNumberFormat="1" applyFont="1" applyFill="1" applyBorder="1" applyAlignment="1">
      <alignment horizontal="right"/>
    </xf>
    <xf numFmtId="4" fontId="18" fillId="0" borderId="4" xfId="0" applyNumberFormat="1" applyFont="1" applyBorder="1" applyAlignment="1">
      <alignment horizontal="right"/>
    </xf>
    <xf numFmtId="180" fontId="34" fillId="0" borderId="4" xfId="53" applyNumberFormat="1" applyFont="1" applyFill="1" applyBorder="1" applyAlignment="1">
      <alignment horizontal="left"/>
    </xf>
    <xf numFmtId="4" fontId="17" fillId="0" borderId="4" xfId="49" applyNumberFormat="1" applyFont="1" applyFill="1" applyBorder="1" applyAlignment="1">
      <alignment horizontal="right"/>
    </xf>
    <xf numFmtId="4" fontId="30" fillId="0" borderId="4" xfId="49" applyNumberFormat="1" applyFont="1" applyFill="1" applyBorder="1" applyAlignment="1">
      <alignment horizontal="left"/>
    </xf>
    <xf numFmtId="0" fontId="44" fillId="0" borderId="4" xfId="0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23" fillId="0" borderId="0" xfId="0" applyFont="1" applyAlignment="1">
      <alignment horizontal="center" textRotation="45" wrapText="1"/>
    </xf>
    <xf numFmtId="4" fontId="44" fillId="0" borderId="0" xfId="0" applyNumberFormat="1" applyFont="1" applyAlignment="1">
      <alignment horizontal="center" wrapText="1"/>
    </xf>
    <xf numFmtId="178" fontId="44" fillId="0" borderId="0" xfId="0" applyNumberFormat="1" applyFont="1" applyAlignment="1">
      <alignment horizontal="center" wrapText="1"/>
    </xf>
    <xf numFmtId="4" fontId="30" fillId="2" borderId="4" xfId="49" applyNumberFormat="1" applyFont="1" applyFill="1" applyBorder="1" applyAlignment="1">
      <alignment horizontal="right"/>
    </xf>
    <xf numFmtId="177" fontId="17" fillId="0" borderId="0" xfId="53" applyFont="1" applyFill="1" applyBorder="1"/>
    <xf numFmtId="177" fontId="44" fillId="0" borderId="0" xfId="53" applyFont="1" applyFill="1" applyBorder="1"/>
    <xf numFmtId="0" fontId="23" fillId="0" borderId="4" xfId="0" applyFont="1" applyBorder="1" applyAlignment="1">
      <alignment horizontal="right"/>
    </xf>
    <xf numFmtId="43" fontId="24" fillId="0" borderId="4" xfId="1" applyFont="1" applyFill="1" applyBorder="1" applyAlignment="1">
      <alignment horizontal="right"/>
    </xf>
    <xf numFmtId="4" fontId="30" fillId="2" borderId="4" xfId="49" applyNumberFormat="1" applyFont="1" applyFill="1" applyBorder="1" applyAlignment="1">
      <alignment horizontal="left"/>
    </xf>
    <xf numFmtId="43" fontId="23" fillId="0" borderId="0" xfId="1" applyFont="1" applyAlignment="1">
      <alignment horizontal="right"/>
    </xf>
    <xf numFmtId="43" fontId="44" fillId="0" borderId="0" xfId="1" applyFont="1" applyFill="1"/>
    <xf numFmtId="43" fontId="44" fillId="0" borderId="0" xfId="1" applyFont="1"/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43" fontId="2" fillId="0" borderId="0" xfId="1" applyFont="1" applyAlignment="1">
      <alignment horizontal="left"/>
    </xf>
    <xf numFmtId="0" fontId="39" fillId="0" borderId="15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8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39" fillId="4" borderId="21" xfId="0" applyFont="1" applyFill="1" applyBorder="1" applyAlignment="1">
      <alignment horizontal="center"/>
    </xf>
    <xf numFmtId="0" fontId="39" fillId="0" borderId="22" xfId="0" applyFont="1" applyBorder="1" applyAlignment="1">
      <alignment horizontal="center"/>
    </xf>
    <xf numFmtId="4" fontId="23" fillId="0" borderId="23" xfId="0" applyNumberFormat="1" applyFont="1" applyBorder="1" applyAlignment="1">
      <alignment horizontal="center" wrapText="1"/>
    </xf>
    <xf numFmtId="0" fontId="23" fillId="0" borderId="23" xfId="0" applyFont="1" applyBorder="1" applyAlignment="1">
      <alignment horizontal="left" wrapText="1"/>
    </xf>
    <xf numFmtId="4" fontId="23" fillId="0" borderId="24" xfId="0" applyNumberFormat="1" applyFont="1" applyBorder="1" applyAlignment="1">
      <alignment horizontal="right" wrapText="1"/>
    </xf>
    <xf numFmtId="4" fontId="23" fillId="4" borderId="25" xfId="0" applyNumberFormat="1" applyFont="1" applyFill="1" applyBorder="1" applyAlignment="1">
      <alignment horizontal="right"/>
    </xf>
    <xf numFmtId="4" fontId="23" fillId="0" borderId="26" xfId="0" applyNumberFormat="1" applyFont="1" applyBorder="1" applyAlignment="1">
      <alignment horizontal="left" wrapText="1"/>
    </xf>
    <xf numFmtId="49" fontId="1" fillId="0" borderId="27" xfId="0" applyNumberFormat="1" applyFont="1" applyBorder="1"/>
    <xf numFmtId="0" fontId="1" fillId="0" borderId="28" xfId="0" applyFont="1" applyBorder="1"/>
    <xf numFmtId="49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left"/>
    </xf>
    <xf numFmtId="177" fontId="0" fillId="0" borderId="30" xfId="0" applyNumberFormat="1" applyBorder="1"/>
    <xf numFmtId="43" fontId="2" fillId="4" borderId="31" xfId="1" applyFont="1" applyFill="1" applyBorder="1" applyAlignment="1">
      <alignment horizontal="center"/>
    </xf>
    <xf numFmtId="0" fontId="1" fillId="0" borderId="27" xfId="0" applyFont="1" applyBorder="1" applyAlignment="1">
      <alignment horizontal="left"/>
    </xf>
    <xf numFmtId="49" fontId="1" fillId="0" borderId="9" xfId="0" applyNumberFormat="1" applyFont="1" applyBorder="1"/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177" fontId="0" fillId="0" borderId="32" xfId="0" applyNumberFormat="1" applyBorder="1"/>
    <xf numFmtId="43" fontId="2" fillId="4" borderId="33" xfId="1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49" fontId="1" fillId="0" borderId="34" xfId="0" applyNumberFormat="1" applyFont="1" applyBorder="1"/>
    <xf numFmtId="0" fontId="1" fillId="0" borderId="12" xfId="0" applyFont="1" applyBorder="1"/>
    <xf numFmtId="0" fontId="1" fillId="0" borderId="35" xfId="0" applyFont="1" applyBorder="1" applyAlignment="1">
      <alignment horizontal="left"/>
    </xf>
    <xf numFmtId="49" fontId="1" fillId="4" borderId="36" xfId="0" applyNumberFormat="1" applyFont="1" applyFill="1" applyBorder="1"/>
    <xf numFmtId="49" fontId="1" fillId="4" borderId="37" xfId="0" applyNumberFormat="1" applyFont="1" applyFill="1" applyBorder="1"/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32" xfId="0" applyFill="1" applyBorder="1" applyAlignment="1">
      <alignment horizontal="center"/>
    </xf>
    <xf numFmtId="49" fontId="1" fillId="4" borderId="38" xfId="0" applyNumberFormat="1" applyFont="1" applyFill="1" applyBorder="1"/>
    <xf numFmtId="49" fontId="1" fillId="0" borderId="39" xfId="0" applyNumberFormat="1" applyFont="1" applyBorder="1"/>
    <xf numFmtId="177" fontId="0" fillId="0" borderId="4" xfId="0" applyNumberFormat="1" applyBorder="1"/>
    <xf numFmtId="0" fontId="1" fillId="0" borderId="28" xfId="0" applyFont="1" applyBorder="1" applyAlignment="1">
      <alignment horizontal="left"/>
    </xf>
    <xf numFmtId="49" fontId="1" fillId="0" borderId="35" xfId="0" applyNumberFormat="1" applyFont="1" applyBorder="1"/>
    <xf numFmtId="0" fontId="1" fillId="0" borderId="40" xfId="0" applyFont="1" applyBorder="1"/>
    <xf numFmtId="49" fontId="0" fillId="0" borderId="41" xfId="0" applyNumberFormat="1" applyBorder="1" applyAlignment="1">
      <alignment horizontal="center"/>
    </xf>
    <xf numFmtId="0" fontId="0" fillId="0" borderId="41" xfId="0" applyBorder="1" applyAlignment="1">
      <alignment horizontal="left"/>
    </xf>
    <xf numFmtId="43" fontId="2" fillId="4" borderId="42" xfId="1" applyFont="1" applyFill="1" applyBorder="1" applyAlignment="1">
      <alignment horizontal="center"/>
    </xf>
    <xf numFmtId="49" fontId="1" fillId="4" borderId="43" xfId="0" applyNumberFormat="1" applyFont="1" applyFill="1" applyBorder="1" applyAlignment="1">
      <alignment horizontal="center"/>
    </xf>
    <xf numFmtId="49" fontId="1" fillId="4" borderId="44" xfId="0" applyNumberFormat="1" applyFont="1" applyFill="1" applyBorder="1" applyAlignment="1">
      <alignment horizontal="center"/>
    </xf>
    <xf numFmtId="49" fontId="1" fillId="4" borderId="37" xfId="0" applyNumberFormat="1" applyFont="1" applyFill="1" applyBorder="1" applyAlignment="1">
      <alignment horizontal="center"/>
    </xf>
    <xf numFmtId="4" fontId="23" fillId="0" borderId="24" xfId="0" applyNumberFormat="1" applyFont="1" applyBorder="1" applyAlignment="1">
      <alignment horizontal="right"/>
    </xf>
    <xf numFmtId="0" fontId="1" fillId="0" borderId="29" xfId="0" applyFont="1" applyBorder="1"/>
    <xf numFmtId="0" fontId="1" fillId="0" borderId="29" xfId="0" applyFont="1" applyBorder="1" applyAlignment="1">
      <alignment horizontal="left"/>
    </xf>
    <xf numFmtId="43" fontId="2" fillId="4" borderId="45" xfId="1" applyFont="1" applyFill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77" fontId="0" fillId="0" borderId="46" xfId="0" applyNumberFormat="1" applyBorder="1"/>
    <xf numFmtId="49" fontId="1" fillId="4" borderId="38" xfId="0" applyNumberFormat="1" applyFont="1" applyFill="1" applyBorder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1" fillId="4" borderId="47" xfId="0" applyNumberFormat="1" applyFont="1" applyFill="1" applyBorder="1" applyAlignment="1">
      <alignment horizontal="center"/>
    </xf>
    <xf numFmtId="43" fontId="0" fillId="0" borderId="30" xfId="1" applyFont="1" applyBorder="1"/>
    <xf numFmtId="43" fontId="0" fillId="0" borderId="32" xfId="1" applyFont="1" applyBorder="1"/>
    <xf numFmtId="43" fontId="0" fillId="0" borderId="46" xfId="1" applyFont="1" applyBorder="1"/>
    <xf numFmtId="43" fontId="2" fillId="4" borderId="25" xfId="1" applyFont="1" applyFill="1" applyBorder="1" applyAlignment="1">
      <alignment horizontal="center"/>
    </xf>
    <xf numFmtId="43" fontId="2" fillId="4" borderId="48" xfId="1" applyFont="1" applyFill="1" applyBorder="1" applyAlignment="1">
      <alignment horizontal="center"/>
    </xf>
    <xf numFmtId="49" fontId="1" fillId="4" borderId="49" xfId="0" applyNumberFormat="1" applyFont="1" applyFill="1" applyBorder="1" applyAlignment="1">
      <alignment horizontal="center"/>
    </xf>
    <xf numFmtId="0" fontId="39" fillId="0" borderId="50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/>
    </xf>
    <xf numFmtId="4" fontId="23" fillId="0" borderId="23" xfId="0" applyNumberFormat="1" applyFont="1" applyBorder="1" applyAlignment="1">
      <alignment horizontal="left" wrapText="1"/>
    </xf>
    <xf numFmtId="43" fontId="23" fillId="0" borderId="23" xfId="1" applyFont="1" applyBorder="1" applyAlignment="1">
      <alignment horizontal="left"/>
    </xf>
    <xf numFmtId="49" fontId="0" fillId="0" borderId="53" xfId="52" applyNumberFormat="1" applyFont="1" applyBorder="1"/>
    <xf numFmtId="177" fontId="0" fillId="0" borderId="27" xfId="52" applyFont="1" applyBorder="1"/>
    <xf numFmtId="177" fontId="0" fillId="0" borderId="30" xfId="52" applyFont="1" applyBorder="1"/>
    <xf numFmtId="49" fontId="0" fillId="0" borderId="54" xfId="52" applyNumberFormat="1" applyFont="1" applyBorder="1"/>
    <xf numFmtId="177" fontId="0" fillId="0" borderId="9" xfId="52" applyFont="1" applyBorder="1"/>
    <xf numFmtId="177" fontId="0" fillId="0" borderId="32" xfId="52" applyFont="1" applyBorder="1"/>
    <xf numFmtId="0" fontId="1" fillId="0" borderId="40" xfId="0" applyFont="1" applyBorder="1" applyAlignment="1">
      <alignment horizontal="left"/>
    </xf>
    <xf numFmtId="177" fontId="0" fillId="0" borderId="35" xfId="52" applyFont="1" applyBorder="1"/>
    <xf numFmtId="177" fontId="0" fillId="0" borderId="46" xfId="52" applyFont="1" applyBorder="1"/>
    <xf numFmtId="49" fontId="1" fillId="4" borderId="0" xfId="0" applyNumberFormat="1" applyFont="1" applyFill="1"/>
    <xf numFmtId="0" fontId="0" fillId="4" borderId="25" xfId="0" applyFill="1" applyBorder="1"/>
    <xf numFmtId="0" fontId="0" fillId="4" borderId="55" xfId="0" applyFill="1" applyBorder="1"/>
    <xf numFmtId="0" fontId="0" fillId="4" borderId="56" xfId="0" applyFill="1" applyBorder="1"/>
    <xf numFmtId="49" fontId="0" fillId="0" borderId="57" xfId="52" applyNumberFormat="1" applyFont="1" applyBorder="1"/>
    <xf numFmtId="177" fontId="0" fillId="0" borderId="58" xfId="52" applyFont="1" applyBorder="1"/>
    <xf numFmtId="177" fontId="0" fillId="0" borderId="10" xfId="52" applyFont="1" applyBorder="1"/>
    <xf numFmtId="177" fontId="0" fillId="0" borderId="59" xfId="52" applyFont="1" applyBorder="1"/>
    <xf numFmtId="49" fontId="1" fillId="4" borderId="42" xfId="0" applyNumberFormat="1" applyFont="1" applyFill="1" applyBorder="1" applyAlignment="1">
      <alignment horizontal="center"/>
    </xf>
    <xf numFmtId="49" fontId="1" fillId="4" borderId="45" xfId="0" applyNumberFormat="1" applyFont="1" applyFill="1" applyBorder="1" applyAlignment="1">
      <alignment horizontal="center"/>
    </xf>
    <xf numFmtId="49" fontId="1" fillId="4" borderId="33" xfId="0" applyNumberFormat="1" applyFont="1" applyFill="1" applyBorder="1" applyAlignment="1">
      <alignment horizontal="center"/>
    </xf>
    <xf numFmtId="0" fontId="39" fillId="0" borderId="4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43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47" fillId="0" borderId="58" xfId="0" applyFont="1" applyBorder="1" applyAlignment="1">
      <alignment horizontal="center"/>
    </xf>
    <xf numFmtId="0" fontId="47" fillId="0" borderId="60" xfId="0" applyFont="1" applyBorder="1" applyAlignment="1">
      <alignment horizontal="center"/>
    </xf>
    <xf numFmtId="0" fontId="47" fillId="0" borderId="61" xfId="0" applyFont="1" applyBorder="1" applyAlignment="1">
      <alignment horizontal="center"/>
    </xf>
    <xf numFmtId="0" fontId="47" fillId="4" borderId="6" xfId="0" applyFont="1" applyFill="1" applyBorder="1" applyAlignment="1">
      <alignment horizontal="center"/>
    </xf>
    <xf numFmtId="0" fontId="47" fillId="0" borderId="6" xfId="0" applyFont="1" applyBorder="1" applyAlignment="1">
      <alignment horizontal="center"/>
    </xf>
    <xf numFmtId="4" fontId="23" fillId="0" borderId="34" xfId="0" applyNumberFormat="1" applyFont="1" applyBorder="1" applyAlignment="1">
      <alignment horizontal="center" wrapText="1"/>
    </xf>
    <xf numFmtId="4" fontId="23" fillId="0" borderId="11" xfId="0" applyNumberFormat="1" applyFont="1" applyBorder="1" applyAlignment="1">
      <alignment horizontal="center" wrapText="1"/>
    </xf>
    <xf numFmtId="0" fontId="23" fillId="0" borderId="11" xfId="0" applyFont="1" applyBorder="1" applyAlignment="1">
      <alignment horizontal="left" wrapText="1"/>
    </xf>
    <xf numFmtId="4" fontId="23" fillId="0" borderId="11" xfId="0" applyNumberFormat="1" applyFont="1" applyBorder="1" applyAlignment="1">
      <alignment horizontal="left" wrapText="1"/>
    </xf>
    <xf numFmtId="4" fontId="23" fillId="0" borderId="11" xfId="0" applyNumberFormat="1" applyFont="1" applyBorder="1" applyAlignment="1">
      <alignment horizontal="center"/>
    </xf>
    <xf numFmtId="4" fontId="23" fillId="4" borderId="11" xfId="0" applyNumberFormat="1" applyFont="1" applyFill="1" applyBorder="1" applyAlignment="1">
      <alignment horizontal="right"/>
    </xf>
    <xf numFmtId="4" fontId="18" fillId="0" borderId="27" xfId="0" applyNumberFormat="1" applyFont="1" applyBorder="1" applyAlignment="1">
      <alignment horizontal="left" wrapText="1"/>
    </xf>
    <xf numFmtId="4" fontId="18" fillId="0" borderId="29" xfId="0" applyNumberFormat="1" applyFont="1" applyBorder="1" applyAlignment="1">
      <alignment horizontal="left" wrapText="1"/>
    </xf>
    <xf numFmtId="4" fontId="23" fillId="4" borderId="45" xfId="0" applyNumberFormat="1" applyFont="1" applyFill="1" applyBorder="1" applyAlignment="1">
      <alignment horizontal="center"/>
    </xf>
    <xf numFmtId="4" fontId="18" fillId="0" borderId="61" xfId="0" applyNumberFormat="1" applyFont="1" applyBorder="1" applyAlignment="1">
      <alignment horizontal="left" wrapText="1"/>
    </xf>
    <xf numFmtId="4" fontId="18" fillId="0" borderId="9" xfId="0" applyNumberFormat="1" applyFont="1" applyBorder="1" applyAlignment="1">
      <alignment horizontal="center" wrapText="1"/>
    </xf>
    <xf numFmtId="4" fontId="18" fillId="0" borderId="4" xfId="0" applyNumberFormat="1" applyFont="1" applyBorder="1" applyAlignment="1">
      <alignment horizontal="center" wrapText="1"/>
    </xf>
    <xf numFmtId="4" fontId="23" fillId="4" borderId="33" xfId="0" applyNumberFormat="1" applyFont="1" applyFill="1" applyBorder="1" applyAlignment="1">
      <alignment horizontal="center"/>
    </xf>
    <xf numFmtId="4" fontId="18" fillId="0" borderId="3" xfId="0" applyNumberFormat="1" applyFont="1" applyBorder="1" applyAlignment="1">
      <alignment horizontal="left" wrapText="1"/>
    </xf>
    <xf numFmtId="4" fontId="18" fillId="0" borderId="35" xfId="0" applyNumberFormat="1" applyFont="1" applyBorder="1" applyAlignment="1">
      <alignment horizontal="center" wrapText="1"/>
    </xf>
    <xf numFmtId="4" fontId="18" fillId="0" borderId="41" xfId="0" applyNumberFormat="1" applyFont="1" applyBorder="1" applyAlignment="1">
      <alignment horizontal="center" wrapText="1"/>
    </xf>
    <xf numFmtId="4" fontId="23" fillId="4" borderId="42" xfId="0" applyNumberFormat="1" applyFont="1" applyFill="1" applyBorder="1" applyAlignment="1">
      <alignment horizontal="center"/>
    </xf>
    <xf numFmtId="4" fontId="18" fillId="0" borderId="62" xfId="0" applyNumberFormat="1" applyFont="1" applyBorder="1" applyAlignment="1">
      <alignment horizontal="left" wrapText="1"/>
    </xf>
    <xf numFmtId="4" fontId="18" fillId="4" borderId="49" xfId="0" applyNumberFormat="1" applyFont="1" applyFill="1" applyBorder="1" applyAlignment="1">
      <alignment horizontal="center" wrapText="1"/>
    </xf>
    <xf numFmtId="4" fontId="18" fillId="4" borderId="47" xfId="0" applyNumberFormat="1" applyFont="1" applyFill="1" applyBorder="1" applyAlignment="1">
      <alignment horizontal="center" wrapText="1"/>
    </xf>
    <xf numFmtId="4" fontId="18" fillId="4" borderId="0" xfId="0" applyNumberFormat="1" applyFont="1" applyFill="1" applyAlignment="1">
      <alignment horizontal="center" wrapText="1"/>
    </xf>
    <xf numFmtId="4" fontId="18" fillId="4" borderId="37" xfId="0" applyNumberFormat="1" applyFont="1" applyFill="1" applyBorder="1" applyAlignment="1">
      <alignment horizontal="center" wrapText="1"/>
    </xf>
    <xf numFmtId="0" fontId="48" fillId="0" borderId="0" xfId="0" applyFont="1" applyAlignment="1">
      <alignment vertical="center"/>
    </xf>
    <xf numFmtId="4" fontId="18" fillId="4" borderId="38" xfId="0" applyNumberFormat="1" applyFont="1" applyFill="1" applyBorder="1" applyAlignment="1">
      <alignment horizontal="center" wrapText="1"/>
    </xf>
    <xf numFmtId="0" fontId="1" fillId="0" borderId="6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2" xfId="0" applyFont="1" applyBorder="1" applyAlignment="1">
      <alignment horizontal="left"/>
    </xf>
    <xf numFmtId="177" fontId="0" fillId="0" borderId="63" xfId="0" applyNumberFormat="1" applyBorder="1"/>
    <xf numFmtId="49" fontId="1" fillId="4" borderId="36" xfId="0" applyNumberFormat="1" applyFont="1" applyFill="1" applyBorder="1" applyAlignment="1">
      <alignment horizontal="center"/>
    </xf>
    <xf numFmtId="43" fontId="49" fillId="0" borderId="30" xfId="1" applyFont="1" applyBorder="1"/>
    <xf numFmtId="43" fontId="49" fillId="0" borderId="32" xfId="1" applyFont="1" applyBorder="1"/>
    <xf numFmtId="43" fontId="49" fillId="0" borderId="46" xfId="1" applyFont="1" applyBorder="1"/>
    <xf numFmtId="43" fontId="2" fillId="0" borderId="0" xfId="1" applyFont="1" applyBorder="1" applyAlignment="1">
      <alignment horizontal="left"/>
    </xf>
    <xf numFmtId="0" fontId="39" fillId="0" borderId="45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47" fillId="0" borderId="64" xfId="0" applyFont="1" applyBorder="1" applyAlignment="1">
      <alignment horizontal="center"/>
    </xf>
    <xf numFmtId="43" fontId="23" fillId="0" borderId="65" xfId="1" applyFont="1" applyBorder="1"/>
    <xf numFmtId="4" fontId="18" fillId="0" borderId="4" xfId="0" applyNumberFormat="1" applyFont="1" applyBorder="1" applyAlignment="1">
      <alignment horizontal="left" wrapText="1"/>
    </xf>
    <xf numFmtId="4" fontId="18" fillId="0" borderId="41" xfId="0" applyNumberFormat="1" applyFont="1" applyBorder="1" applyAlignment="1">
      <alignment horizontal="left" wrapText="1"/>
    </xf>
    <xf numFmtId="177" fontId="0" fillId="0" borderId="42" xfId="0" applyNumberFormat="1" applyBorder="1"/>
    <xf numFmtId="4" fontId="18" fillId="4" borderId="45" xfId="0" applyNumberFormat="1" applyFont="1" applyFill="1" applyBorder="1" applyAlignment="1">
      <alignment horizontal="center" wrapText="1"/>
    </xf>
    <xf numFmtId="177" fontId="0" fillId="0" borderId="41" xfId="0" applyNumberFormat="1" applyBorder="1"/>
    <xf numFmtId="49" fontId="1" fillId="4" borderId="66" xfId="0" applyNumberFormat="1" applyFont="1" applyFill="1" applyBorder="1" applyAlignment="1">
      <alignment horizontal="center"/>
    </xf>
    <xf numFmtId="43" fontId="2" fillId="0" borderId="0" xfId="0" applyNumberFormat="1" applyFont="1"/>
    <xf numFmtId="0" fontId="50" fillId="0" borderId="15" xfId="0" applyFont="1" applyBorder="1" applyAlignment="1">
      <alignment horizontal="center"/>
    </xf>
    <xf numFmtId="0" fontId="50" fillId="0" borderId="1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7" xfId="0" applyFont="1" applyBorder="1"/>
    <xf numFmtId="0" fontId="2" fillId="0" borderId="6" xfId="0" applyFont="1" applyBorder="1"/>
    <xf numFmtId="0" fontId="2" fillId="0" borderId="6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8" xfId="0" applyFont="1" applyBorder="1" applyAlignment="1">
      <alignment vertical="center"/>
    </xf>
    <xf numFmtId="43" fontId="0" fillId="0" borderId="4" xfId="1" applyFont="1" applyBorder="1"/>
    <xf numFmtId="0" fontId="2" fillId="0" borderId="69" xfId="0" applyFont="1" applyBorder="1"/>
    <xf numFmtId="0" fontId="2" fillId="0" borderId="11" xfId="0" applyFont="1" applyBorder="1"/>
    <xf numFmtId="43" fontId="51" fillId="0" borderId="11" xfId="1" applyFont="1" applyBorder="1"/>
    <xf numFmtId="0" fontId="2" fillId="0" borderId="70" xfId="0" applyFont="1" applyBorder="1" applyAlignment="1">
      <alignment vertical="center"/>
    </xf>
    <xf numFmtId="0" fontId="2" fillId="0" borderId="29" xfId="0" applyFont="1" applyBorder="1"/>
    <xf numFmtId="43" fontId="0" fillId="0" borderId="29" xfId="1" applyFont="1" applyBorder="1"/>
    <xf numFmtId="0" fontId="2" fillId="0" borderId="55" xfId="0" applyFont="1" applyBorder="1" applyAlignment="1">
      <alignment vertical="center"/>
    </xf>
    <xf numFmtId="177" fontId="2" fillId="0" borderId="55" xfId="0" applyNumberFormat="1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35" xfId="0" applyFont="1" applyBorder="1"/>
    <xf numFmtId="0" fontId="2" fillId="0" borderId="41" xfId="0" applyFont="1" applyBorder="1"/>
    <xf numFmtId="43" fontId="51" fillId="0" borderId="41" xfId="1" applyFont="1" applyBorder="1"/>
    <xf numFmtId="0" fontId="2" fillId="0" borderId="67" xfId="0" applyFont="1" applyBorder="1" applyAlignment="1">
      <alignment vertical="center"/>
    </xf>
    <xf numFmtId="43" fontId="0" fillId="0" borderId="6" xfId="1" applyFont="1" applyBorder="1"/>
    <xf numFmtId="43" fontId="0" fillId="0" borderId="4" xfId="1" applyFont="1" applyFill="1" applyBorder="1"/>
    <xf numFmtId="43" fontId="1" fillId="0" borderId="29" xfId="1" applyFont="1" applyBorder="1"/>
    <xf numFmtId="43" fontId="0" fillId="0" borderId="6" xfId="1" applyFont="1" applyFill="1" applyBorder="1"/>
    <xf numFmtId="43" fontId="0" fillId="0" borderId="11" xfId="1" applyFont="1" applyBorder="1"/>
    <xf numFmtId="43" fontId="0" fillId="0" borderId="11" xfId="1" applyFont="1" applyFill="1" applyBorder="1"/>
    <xf numFmtId="43" fontId="1" fillId="0" borderId="41" xfId="1" applyFont="1" applyBorder="1"/>
    <xf numFmtId="43" fontId="1" fillId="0" borderId="41" xfId="0" applyNumberFormat="1" applyFont="1" applyBorder="1"/>
    <xf numFmtId="43" fontId="2" fillId="0" borderId="6" xfId="1" applyFont="1" applyBorder="1"/>
    <xf numFmtId="43" fontId="0" fillId="0" borderId="5" xfId="1" applyFont="1" applyBorder="1"/>
    <xf numFmtId="43" fontId="0" fillId="0" borderId="5" xfId="1" applyFont="1" applyFill="1" applyBorder="1"/>
    <xf numFmtId="43" fontId="2" fillId="0" borderId="4" xfId="1" applyFont="1" applyBorder="1"/>
    <xf numFmtId="0" fontId="2" fillId="0" borderId="71" xfId="0" applyFont="1" applyBorder="1"/>
    <xf numFmtId="0" fontId="2" fillId="0" borderId="72" xfId="0" applyFont="1" applyBorder="1"/>
    <xf numFmtId="43" fontId="2" fillId="0" borderId="72" xfId="1" applyFont="1" applyBorder="1"/>
    <xf numFmtId="0" fontId="2" fillId="0" borderId="66" xfId="0" applyFont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31" xfId="0" applyFont="1" applyFill="1" applyBorder="1"/>
    <xf numFmtId="0" fontId="2" fillId="0" borderId="73" xfId="0" applyFont="1" applyBorder="1"/>
    <xf numFmtId="0" fontId="2" fillId="0" borderId="74" xfId="0" applyFont="1" applyBorder="1"/>
    <xf numFmtId="0" fontId="2" fillId="0" borderId="74" xfId="1" applyNumberFormat="1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43" fontId="0" fillId="0" borderId="1" xfId="1" applyFont="1" applyFill="1" applyBorder="1"/>
    <xf numFmtId="43" fontId="0" fillId="2" borderId="1" xfId="1" applyFont="1" applyFill="1" applyBorder="1"/>
    <xf numFmtId="0" fontId="2" fillId="4" borderId="25" xfId="0" applyFont="1" applyFill="1" applyBorder="1"/>
    <xf numFmtId="0" fontId="2" fillId="0" borderId="34" xfId="0" applyFont="1" applyBorder="1" applyAlignment="1">
      <alignment vertical="center"/>
    </xf>
    <xf numFmtId="43" fontId="0" fillId="0" borderId="12" xfId="1" applyFont="1" applyFill="1" applyBorder="1"/>
    <xf numFmtId="43" fontId="0" fillId="2" borderId="12" xfId="1" applyFont="1" applyFill="1" applyBorder="1"/>
    <xf numFmtId="0" fontId="2" fillId="0" borderId="75" xfId="0" applyFont="1" applyBorder="1"/>
    <xf numFmtId="0" fontId="2" fillId="0" borderId="76" xfId="0" applyFont="1" applyBorder="1"/>
    <xf numFmtId="43" fontId="2" fillId="4" borderId="25" xfId="0" applyNumberFormat="1" applyFont="1" applyFill="1" applyBorder="1"/>
    <xf numFmtId="0" fontId="2" fillId="0" borderId="77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3" fontId="0" fillId="0" borderId="46" xfId="1" applyFont="1" applyFill="1" applyBorder="1"/>
    <xf numFmtId="43" fontId="0" fillId="2" borderId="46" xfId="1" applyFont="1" applyFill="1" applyBorder="1"/>
    <xf numFmtId="43" fontId="0" fillId="0" borderId="74" xfId="1" applyFont="1" applyBorder="1"/>
    <xf numFmtId="0" fontId="1" fillId="0" borderId="74" xfId="0" applyFont="1" applyBorder="1" applyAlignment="1">
      <alignment horizontal="left"/>
    </xf>
    <xf numFmtId="43" fontId="1" fillId="0" borderId="74" xfId="1" applyFont="1" applyBorder="1"/>
    <xf numFmtId="0" fontId="2" fillId="0" borderId="6" xfId="0" applyFont="1" applyBorder="1" applyAlignment="1">
      <alignment horizontal="left"/>
    </xf>
    <xf numFmtId="0" fontId="2" fillId="0" borderId="38" xfId="0" applyFont="1" applyBorder="1" applyAlignment="1">
      <alignment vertical="center"/>
    </xf>
    <xf numFmtId="0" fontId="2" fillId="0" borderId="14" xfId="0" applyFont="1" applyBorder="1"/>
    <xf numFmtId="0" fontId="1" fillId="4" borderId="25" xfId="0" applyFont="1" applyFill="1" applyBorder="1"/>
    <xf numFmtId="0" fontId="1" fillId="0" borderId="78" xfId="0" applyFont="1" applyBorder="1"/>
    <xf numFmtId="0" fontId="1" fillId="0" borderId="14" xfId="0" applyFont="1" applyBorder="1"/>
    <xf numFmtId="43" fontId="1" fillId="0" borderId="11" xfId="1" applyFont="1" applyBorder="1"/>
    <xf numFmtId="43" fontId="0" fillId="0" borderId="29" xfId="1" applyFont="1" applyFill="1" applyBorder="1"/>
    <xf numFmtId="43" fontId="2" fillId="0" borderId="72" xfId="1" applyFont="1" applyFill="1" applyBorder="1"/>
    <xf numFmtId="0" fontId="2" fillId="4" borderId="48" xfId="0" applyFont="1" applyFill="1" applyBorder="1"/>
    <xf numFmtId="0" fontId="2" fillId="0" borderId="59" xfId="0" applyFont="1" applyBorder="1"/>
    <xf numFmtId="0" fontId="2" fillId="0" borderId="62" xfId="0" applyFont="1" applyBorder="1"/>
    <xf numFmtId="43" fontId="2" fillId="0" borderId="41" xfId="1" applyFont="1" applyBorder="1"/>
    <xf numFmtId="43" fontId="0" fillId="0" borderId="0" xfId="1" applyFont="1" applyFill="1" applyBorder="1"/>
    <xf numFmtId="43" fontId="2" fillId="0" borderId="0" xfId="1" applyFont="1" applyFill="1"/>
    <xf numFmtId="0" fontId="50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79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43" fontId="0" fillId="0" borderId="81" xfId="1" applyFont="1" applyFill="1" applyBorder="1"/>
    <xf numFmtId="43" fontId="0" fillId="2" borderId="81" xfId="1" applyFont="1" applyFill="1" applyBorder="1"/>
    <xf numFmtId="43" fontId="2" fillId="0" borderId="82" xfId="0" applyNumberFormat="1" applyFont="1" applyBorder="1"/>
    <xf numFmtId="43" fontId="2" fillId="2" borderId="82" xfId="0" applyNumberFormat="1" applyFont="1" applyFill="1" applyBorder="1"/>
    <xf numFmtId="43" fontId="0" fillId="0" borderId="83" xfId="1" applyFont="1" applyFill="1" applyBorder="1"/>
    <xf numFmtId="43" fontId="0" fillId="0" borderId="84" xfId="1" applyFont="1" applyFill="1" applyBorder="1"/>
    <xf numFmtId="43" fontId="1" fillId="0" borderId="84" xfId="0" applyNumberFormat="1" applyFont="1" applyBorder="1"/>
    <xf numFmtId="43" fontId="1" fillId="2" borderId="84" xfId="0" applyNumberFormat="1" applyFont="1" applyFill="1" applyBorder="1"/>
    <xf numFmtId="43" fontId="0" fillId="0" borderId="30" xfId="1" applyFont="1" applyFill="1" applyBorder="1"/>
    <xf numFmtId="43" fontId="0" fillId="0" borderId="32" xfId="1" applyFont="1" applyFill="1" applyBorder="1"/>
    <xf numFmtId="43" fontId="2" fillId="0" borderId="41" xfId="1" applyFont="1" applyFill="1" applyBorder="1"/>
    <xf numFmtId="43" fontId="2" fillId="0" borderId="0" xfId="1" applyFont="1" applyFill="1" applyBorder="1"/>
    <xf numFmtId="0" fontId="30" fillId="0" borderId="0" xfId="0" applyFont="1"/>
    <xf numFmtId="0" fontId="31" fillId="0" borderId="0" xfId="0" applyFont="1"/>
    <xf numFmtId="0" fontId="52" fillId="0" borderId="4" xfId="0" applyFont="1" applyBorder="1" applyAlignment="1">
      <alignment horizontal="center"/>
    </xf>
    <xf numFmtId="17" fontId="34" fillId="0" borderId="4" xfId="0" applyNumberFormat="1" applyFont="1" applyBorder="1" applyAlignment="1">
      <alignment horizontal="right"/>
    </xf>
    <xf numFmtId="180" fontId="34" fillId="0" borderId="4" xfId="53" applyNumberFormat="1" applyFont="1" applyFill="1" applyBorder="1" applyAlignment="1">
      <alignment horizontal="center"/>
    </xf>
    <xf numFmtId="180" fontId="34" fillId="0" borderId="4" xfId="53" applyNumberFormat="1" applyFont="1" applyFill="1" applyBorder="1" applyAlignment="1">
      <alignment horizontal="right"/>
    </xf>
    <xf numFmtId="177" fontId="30" fillId="0" borderId="4" xfId="53" applyFont="1" applyFill="1" applyBorder="1" applyAlignment="1">
      <alignment horizontal="right"/>
    </xf>
    <xf numFmtId="4" fontId="34" fillId="0" borderId="4" xfId="49" applyNumberFormat="1" applyFont="1" applyFill="1" applyBorder="1" applyAlignment="1">
      <alignment horizontal="left"/>
    </xf>
    <xf numFmtId="177" fontId="34" fillId="0" borderId="4" xfId="53" applyFont="1" applyFill="1" applyBorder="1" applyAlignment="1">
      <alignment horizontal="right"/>
    </xf>
    <xf numFmtId="177" fontId="34" fillId="0" borderId="4" xfId="53" applyFont="1" applyFill="1" applyBorder="1"/>
    <xf numFmtId="0" fontId="34" fillId="0" borderId="4" xfId="0" applyFont="1" applyBorder="1" applyAlignment="1">
      <alignment horizontal="left"/>
    </xf>
    <xf numFmtId="0" fontId="34" fillId="0" borderId="4" xfId="1" applyNumberFormat="1" applyFont="1" applyFill="1" applyBorder="1" applyAlignment="1">
      <alignment horizontal="left"/>
    </xf>
    <xf numFmtId="43" fontId="17" fillId="0" borderId="4" xfId="1" applyFont="1" applyFill="1" applyBorder="1"/>
    <xf numFmtId="43" fontId="17" fillId="2" borderId="4" xfId="1" applyFont="1" applyFill="1" applyBorder="1"/>
    <xf numFmtId="0" fontId="19" fillId="0" borderId="4" xfId="0" applyFont="1" applyBorder="1" applyAlignment="1">
      <alignment horizontal="right"/>
    </xf>
    <xf numFmtId="177" fontId="30" fillId="0" borderId="4" xfId="53" applyFont="1" applyFill="1" applyBorder="1"/>
    <xf numFmtId="43" fontId="30" fillId="0" borderId="4" xfId="49" applyFont="1" applyBorder="1"/>
    <xf numFmtId="43" fontId="30" fillId="0" borderId="4" xfId="49" applyFont="1" applyFill="1" applyBorder="1"/>
    <xf numFmtId="4" fontId="34" fillId="0" borderId="4" xfId="0" applyNumberFormat="1" applyFont="1" applyBorder="1"/>
    <xf numFmtId="0" fontId="19" fillId="0" borderId="4" xfId="0" applyFont="1" applyBorder="1"/>
    <xf numFmtId="4" fontId="30" fillId="0" borderId="4" xfId="0" applyNumberFormat="1" applyFont="1" applyBorder="1"/>
    <xf numFmtId="0" fontId="34" fillId="0" borderId="4" xfId="0" applyFont="1" applyBorder="1"/>
    <xf numFmtId="177" fontId="37" fillId="0" borderId="4" xfId="53" applyFont="1" applyFill="1" applyBorder="1"/>
    <xf numFmtId="177" fontId="37" fillId="0" borderId="4" xfId="53" applyFont="1" applyFill="1" applyBorder="1" applyAlignment="1">
      <alignment horizontal="left"/>
    </xf>
    <xf numFmtId="177" fontId="30" fillId="0" borderId="4" xfId="53" applyFont="1" applyBorder="1"/>
    <xf numFmtId="0" fontId="34" fillId="0" borderId="4" xfId="0" applyFont="1" applyBorder="1" applyAlignment="1">
      <alignment horizontal="center" wrapText="1"/>
    </xf>
    <xf numFmtId="43" fontId="34" fillId="0" borderId="4" xfId="0" applyNumberFormat="1" applyFont="1" applyBorder="1"/>
    <xf numFmtId="0" fontId="34" fillId="0" borderId="4" xfId="0" applyFont="1" applyBorder="1" applyAlignment="1">
      <alignment horizontal="center"/>
    </xf>
    <xf numFmtId="43" fontId="37" fillId="0" borderId="0" xfId="1" applyFont="1"/>
    <xf numFmtId="43" fontId="37" fillId="0" borderId="0" xfId="1" applyFont="1" applyFill="1"/>
    <xf numFmtId="0" fontId="23" fillId="0" borderId="4" xfId="0" applyFont="1" applyBorder="1"/>
    <xf numFmtId="0" fontId="22" fillId="0" borderId="4" xfId="0" applyFont="1" applyBorder="1"/>
    <xf numFmtId="0" fontId="22" fillId="0" borderId="0" xfId="0" applyFont="1"/>
    <xf numFmtId="0" fontId="34" fillId="0" borderId="0" xfId="0" applyFont="1"/>
    <xf numFmtId="4" fontId="37" fillId="0" borderId="0" xfId="0" applyNumberFormat="1" applyFont="1"/>
    <xf numFmtId="43" fontId="19" fillId="0" borderId="0" xfId="1" applyFont="1"/>
    <xf numFmtId="43" fontId="0" fillId="0" borderId="0" xfId="1" applyFont="1" applyBorder="1"/>
    <xf numFmtId="43" fontId="19" fillId="0" borderId="0" xfId="0" applyNumberFormat="1" applyFont="1"/>
    <xf numFmtId="180" fontId="34" fillId="0" borderId="4" xfId="0" applyNumberFormat="1" applyFont="1" applyBorder="1" applyAlignment="1">
      <alignment horizontal="left"/>
    </xf>
    <xf numFmtId="17" fontId="34" fillId="0" borderId="4" xfId="0" applyNumberFormat="1" applyFont="1" applyBorder="1" applyAlignment="1">
      <alignment horizontal="left"/>
    </xf>
    <xf numFmtId="177" fontId="34" fillId="0" borderId="4" xfId="53" applyFont="1" applyFill="1" applyBorder="1" applyAlignment="1">
      <alignment horizontal="left"/>
    </xf>
    <xf numFmtId="4" fontId="34" fillId="0" borderId="4" xfId="53" applyNumberFormat="1" applyFont="1" applyFill="1" applyBorder="1" applyAlignment="1">
      <alignment horizontal="left"/>
    </xf>
    <xf numFmtId="177" fontId="34" fillId="0" borderId="4" xfId="53" applyFont="1" applyFill="1" applyBorder="1" applyAlignment="1">
      <alignment vertical="top"/>
    </xf>
    <xf numFmtId="177" fontId="34" fillId="2" borderId="4" xfId="53" applyFont="1" applyFill="1" applyBorder="1" applyAlignment="1">
      <alignment vertical="top"/>
    </xf>
    <xf numFmtId="43" fontId="30" fillId="0" borderId="4" xfId="0" applyNumberFormat="1" applyFont="1" applyBorder="1" applyAlignment="1">
      <alignment vertical="top"/>
    </xf>
    <xf numFmtId="177" fontId="34" fillId="0" borderId="4" xfId="0" applyNumberFormat="1" applyFont="1" applyBorder="1" applyAlignment="1">
      <alignment vertical="top"/>
    </xf>
    <xf numFmtId="177" fontId="30" fillId="0" borderId="4" xfId="0" applyNumberFormat="1" applyFont="1" applyBorder="1" applyAlignment="1">
      <alignment vertical="top"/>
    </xf>
    <xf numFmtId="180" fontId="34" fillId="0" borderId="4" xfId="53" applyNumberFormat="1" applyFont="1" applyFill="1" applyBorder="1" applyAlignment="1"/>
    <xf numFmtId="43" fontId="34" fillId="0" borderId="4" xfId="1" applyFont="1" applyFill="1" applyBorder="1" applyAlignment="1">
      <alignment horizontal="left"/>
    </xf>
    <xf numFmtId="0" fontId="19" fillId="0" borderId="4" xfId="0" applyFont="1" applyBorder="1" applyAlignment="1">
      <alignment horizontal="left"/>
    </xf>
    <xf numFmtId="4" fontId="31" fillId="0" borderId="4" xfId="49" applyNumberFormat="1" applyFont="1" applyFill="1" applyBorder="1" applyAlignment="1">
      <alignment horizontal="left"/>
    </xf>
    <xf numFmtId="43" fontId="30" fillId="0" borderId="4" xfId="49" applyFont="1" applyFill="1" applyBorder="1" applyAlignment="1">
      <alignment vertical="top"/>
    </xf>
    <xf numFmtId="0" fontId="37" fillId="0" borderId="4" xfId="0" applyFont="1" applyBorder="1" applyAlignment="1">
      <alignment horizontal="left"/>
    </xf>
    <xf numFmtId="177" fontId="30" fillId="0" borderId="4" xfId="53" applyFont="1" applyFill="1" applyBorder="1" applyAlignment="1">
      <alignment vertical="top"/>
    </xf>
    <xf numFmtId="0" fontId="34" fillId="0" borderId="4" xfId="0" applyFont="1" applyBorder="1" applyAlignment="1">
      <alignment horizontal="left" wrapText="1"/>
    </xf>
    <xf numFmtId="4" fontId="34" fillId="0" borderId="4" xfId="49" applyNumberFormat="1" applyFont="1" applyFill="1" applyBorder="1"/>
    <xf numFmtId="43" fontId="37" fillId="0" borderId="0" xfId="0" applyNumberFormat="1" applyFont="1"/>
    <xf numFmtId="4" fontId="22" fillId="0" borderId="0" xfId="0" applyNumberFormat="1" applyFont="1"/>
    <xf numFmtId="177" fontId="22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6" fillId="0" borderId="4" xfId="0" applyFont="1" applyBorder="1" applyAlignment="1">
      <alignment horizontal="right" vertical="top"/>
    </xf>
    <xf numFmtId="0" fontId="53" fillId="0" borderId="4" xfId="0" applyFont="1" applyBorder="1" applyAlignment="1">
      <alignment horizontal="right" vertical="top"/>
    </xf>
    <xf numFmtId="177" fontId="7" fillId="0" borderId="4" xfId="0" applyNumberFormat="1" applyFont="1" applyBorder="1" applyAlignment="1">
      <alignment vertical="top"/>
    </xf>
    <xf numFmtId="177" fontId="54" fillId="0" borderId="4" xfId="0" applyNumberFormat="1" applyFont="1" applyBorder="1" applyAlignment="1">
      <alignment vertical="top"/>
    </xf>
    <xf numFmtId="43" fontId="24" fillId="0" borderId="4" xfId="1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43" fontId="17" fillId="0" borderId="4" xfId="1" applyFont="1" applyFill="1" applyBorder="1" applyAlignment="1">
      <alignment vertical="top"/>
    </xf>
    <xf numFmtId="177" fontId="17" fillId="0" borderId="4" xfId="0" applyNumberFormat="1" applyFont="1" applyBorder="1" applyAlignment="1">
      <alignment vertical="top"/>
    </xf>
    <xf numFmtId="177" fontId="24" fillId="0" borderId="4" xfId="0" applyNumberFormat="1" applyFont="1" applyBorder="1" applyAlignment="1">
      <alignment vertical="top"/>
    </xf>
    <xf numFmtId="177" fontId="31" fillId="0" borderId="0" xfId="0" applyNumberFormat="1" applyFont="1"/>
    <xf numFmtId="0" fontId="22" fillId="0" borderId="0" xfId="0" applyFont="1" applyAlignment="1">
      <alignment horizontal="center"/>
    </xf>
    <xf numFmtId="177" fontId="22" fillId="0" borderId="4" xfId="0" applyNumberFormat="1" applyFont="1" applyBorder="1"/>
    <xf numFmtId="0" fontId="6" fillId="0" borderId="3" xfId="0" applyFont="1" applyBorder="1" applyAlignment="1">
      <alignment horizontal="center" vertical="top"/>
    </xf>
    <xf numFmtId="177" fontId="7" fillId="0" borderId="1" xfId="0" applyNumberFormat="1" applyFont="1" applyBorder="1" applyAlignment="1">
      <alignment vertical="top"/>
    </xf>
    <xf numFmtId="43" fontId="24" fillId="0" borderId="4" xfId="1" applyFont="1" applyBorder="1" applyAlignment="1">
      <alignment vertical="top"/>
    </xf>
    <xf numFmtId="43" fontId="24" fillId="0" borderId="1" xfId="1" applyFont="1" applyBorder="1" applyAlignment="1">
      <alignment vertical="top"/>
    </xf>
    <xf numFmtId="43" fontId="24" fillId="2" borderId="4" xfId="1" applyFont="1" applyFill="1" applyBorder="1"/>
    <xf numFmtId="43" fontId="17" fillId="2" borderId="4" xfId="1" applyFont="1" applyFill="1" applyBorder="1" applyAlignment="1">
      <alignment vertical="top"/>
    </xf>
    <xf numFmtId="177" fontId="24" fillId="2" borderId="4" xfId="0" applyNumberFormat="1" applyFont="1" applyFill="1" applyBorder="1" applyAlignment="1">
      <alignment vertical="top"/>
    </xf>
    <xf numFmtId="0" fontId="55" fillId="0" borderId="0" xfId="0" applyFont="1"/>
    <xf numFmtId="0" fontId="56" fillId="0" borderId="0" xfId="0" applyFont="1"/>
    <xf numFmtId="0" fontId="40" fillId="0" borderId="0" xfId="0" applyFont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3" fontId="53" fillId="0" borderId="4" xfId="1" applyFont="1" applyFill="1" applyBorder="1" applyAlignment="1">
      <alignment horizontal="center"/>
    </xf>
    <xf numFmtId="43" fontId="54" fillId="0" borderId="4" xfId="1" applyFont="1" applyFill="1" applyBorder="1" applyAlignment="1">
      <alignment horizontal="center"/>
    </xf>
    <xf numFmtId="43" fontId="39" fillId="0" borderId="4" xfId="1" applyFont="1" applyFill="1" applyBorder="1" applyAlignment="1">
      <alignment horizontal="center"/>
    </xf>
    <xf numFmtId="43" fontId="24" fillId="0" borderId="4" xfId="1" applyFont="1" applyFill="1" applyBorder="1" applyAlignment="1">
      <alignment horizontal="center"/>
    </xf>
    <xf numFmtId="43" fontId="18" fillId="0" borderId="4" xfId="1" applyFont="1" applyFill="1" applyBorder="1" applyAlignment="1">
      <alignment horizontal="center"/>
    </xf>
    <xf numFmtId="0" fontId="7" fillId="0" borderId="4" xfId="0" applyFont="1" applyBorder="1" applyAlignment="1">
      <alignment horizontal="right"/>
    </xf>
    <xf numFmtId="43" fontId="23" fillId="0" borderId="4" xfId="1" applyFont="1" applyFill="1" applyBorder="1" applyAlignment="1">
      <alignment horizontal="center"/>
    </xf>
    <xf numFmtId="4" fontId="42" fillId="0" borderId="4" xfId="49" applyNumberFormat="1" applyFont="1" applyFill="1" applyBorder="1"/>
    <xf numFmtId="178" fontId="23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right"/>
    </xf>
    <xf numFmtId="0" fontId="39" fillId="0" borderId="0" xfId="0" applyFont="1"/>
    <xf numFmtId="4" fontId="17" fillId="2" borderId="4" xfId="49" applyNumberFormat="1" applyFont="1" applyFill="1" applyBorder="1" applyAlignment="1">
      <alignment horizontal="right"/>
    </xf>
    <xf numFmtId="0" fontId="53" fillId="0" borderId="0" xfId="0" applyFont="1" applyAlignment="1">
      <alignment horizontal="left"/>
    </xf>
    <xf numFmtId="17" fontId="53" fillId="0" borderId="0" xfId="0" applyNumberFormat="1" applyFont="1" applyAlignment="1">
      <alignment horizontal="left"/>
    </xf>
    <xf numFmtId="180" fontId="53" fillId="0" borderId="0" xfId="49" applyNumberFormat="1" applyFont="1" applyFill="1" applyBorder="1"/>
    <xf numFmtId="182" fontId="53" fillId="0" borderId="0" xfId="49" applyNumberFormat="1" applyFont="1" applyFill="1" applyBorder="1"/>
    <xf numFmtId="180" fontId="53" fillId="0" borderId="0" xfId="50" applyNumberFormat="1" applyFont="1" applyFill="1" applyBorder="1" applyAlignment="1">
      <alignment horizontal="center"/>
    </xf>
    <xf numFmtId="183" fontId="53" fillId="0" borderId="0" xfId="0" applyNumberFormat="1" applyFont="1" applyAlignment="1">
      <alignment horizontal="center"/>
    </xf>
    <xf numFmtId="180" fontId="53" fillId="0" borderId="0" xfId="49" applyNumberFormat="1" applyFont="1" applyFill="1" applyBorder="1" applyAlignment="1">
      <alignment horizontal="left"/>
    </xf>
    <xf numFmtId="0" fontId="53" fillId="0" borderId="0" xfId="0" applyFont="1"/>
    <xf numFmtId="0" fontId="53" fillId="0" borderId="1" xfId="0" applyFont="1" applyBorder="1" applyAlignment="1">
      <alignment horizontal="center"/>
    </xf>
    <xf numFmtId="0" fontId="53" fillId="0" borderId="2" xfId="0" applyFont="1" applyBorder="1" applyAlignment="1">
      <alignment horizontal="center"/>
    </xf>
    <xf numFmtId="43" fontId="53" fillId="0" borderId="1" xfId="1" applyFont="1" applyBorder="1" applyAlignment="1">
      <alignment horizontal="left" textRotation="35"/>
    </xf>
    <xf numFmtId="3" fontId="53" fillId="0" borderId="3" xfId="0" applyNumberFormat="1" applyFont="1" applyBorder="1" applyAlignment="1">
      <alignment textRotation="35"/>
    </xf>
    <xf numFmtId="3" fontId="17" fillId="0" borderId="4" xfId="0" applyNumberFormat="1" applyFont="1" applyBorder="1" applyAlignment="1">
      <alignment textRotation="90"/>
    </xf>
    <xf numFmtId="3" fontId="17" fillId="0" borderId="4" xfId="0" applyNumberFormat="1" applyFont="1" applyBorder="1" applyAlignment="1">
      <alignment textRotation="90" wrapText="1"/>
    </xf>
    <xf numFmtId="49" fontId="31" fillId="0" borderId="4" xfId="49" applyNumberFormat="1" applyFont="1" applyFill="1" applyBorder="1" applyAlignment="1">
      <alignment horizontal="left" vertical="center"/>
    </xf>
    <xf numFmtId="4" fontId="24" fillId="0" borderId="4" xfId="49" applyNumberFormat="1" applyFont="1" applyFill="1" applyBorder="1" applyAlignment="1">
      <alignment vertical="center"/>
    </xf>
    <xf numFmtId="43" fontId="24" fillId="0" borderId="4" xfId="1" applyFont="1" applyFill="1" applyBorder="1" applyAlignment="1">
      <alignment vertical="center"/>
    </xf>
    <xf numFmtId="0" fontId="31" fillId="0" borderId="4" xfId="0" applyFont="1" applyBorder="1" applyAlignment="1">
      <alignment horizontal="left" vertical="center"/>
    </xf>
    <xf numFmtId="4" fontId="24" fillId="0" borderId="4" xfId="49" applyNumberFormat="1" applyFont="1" applyFill="1" applyBorder="1" applyAlignment="1"/>
    <xf numFmtId="4" fontId="24" fillId="2" borderId="4" xfId="49" applyNumberFormat="1" applyFont="1" applyFill="1" applyBorder="1" applyAlignment="1"/>
    <xf numFmtId="4" fontId="31" fillId="0" borderId="4" xfId="49" applyNumberFormat="1" applyFont="1" applyFill="1" applyBorder="1" applyAlignment="1">
      <alignment vertical="center"/>
    </xf>
    <xf numFmtId="4" fontId="31" fillId="0" borderId="4" xfId="0" applyNumberFormat="1" applyFont="1" applyBorder="1" applyAlignment="1">
      <alignment horizontal="left" vertical="center"/>
    </xf>
    <xf numFmtId="43" fontId="31" fillId="0" borderId="4" xfId="1" applyFont="1" applyFill="1" applyBorder="1" applyAlignment="1">
      <alignment horizontal="left" vertical="center"/>
    </xf>
    <xf numFmtId="43" fontId="31" fillId="0" borderId="4" xfId="0" applyNumberFormat="1" applyFont="1" applyBorder="1" applyAlignment="1">
      <alignment horizontal="left" vertical="center"/>
    </xf>
    <xf numFmtId="0" fontId="31" fillId="0" borderId="4" xfId="1" applyNumberFormat="1" applyFont="1" applyBorder="1" applyAlignment="1">
      <alignment horizontal="left" vertical="center"/>
    </xf>
    <xf numFmtId="180" fontId="31" fillId="0" borderId="4" xfId="49" applyNumberFormat="1" applyFont="1" applyFill="1" applyBorder="1" applyAlignment="1">
      <alignment vertical="center"/>
    </xf>
    <xf numFmtId="43" fontId="54" fillId="0" borderId="4" xfId="1" applyFont="1" applyBorder="1" applyAlignment="1">
      <alignment horizontal="left" vertical="center"/>
    </xf>
    <xf numFmtId="0" fontId="54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vertical="center"/>
    </xf>
    <xf numFmtId="43" fontId="24" fillId="0" borderId="4" xfId="1" applyFont="1" applyBorder="1" applyAlignment="1">
      <alignment vertical="center"/>
    </xf>
    <xf numFmtId="180" fontId="31" fillId="0" borderId="4" xfId="49" applyNumberFormat="1" applyFont="1" applyFill="1" applyBorder="1" applyAlignment="1">
      <alignment horizontal="left" vertical="center"/>
    </xf>
    <xf numFmtId="0" fontId="24" fillId="0" borderId="4" xfId="49" applyNumberFormat="1" applyFont="1" applyFill="1" applyBorder="1" applyAlignment="1">
      <alignment horizontal="left" vertical="center"/>
    </xf>
    <xf numFmtId="0" fontId="54" fillId="0" borderId="4" xfId="0" applyFont="1" applyBorder="1" applyAlignment="1">
      <alignment horizontal="left"/>
    </xf>
    <xf numFmtId="0" fontId="53" fillId="0" borderId="3" xfId="0" applyFont="1" applyBorder="1" applyAlignment="1">
      <alignment horizontal="center"/>
    </xf>
    <xf numFmtId="0" fontId="53" fillId="0" borderId="0" xfId="0" applyFont="1" applyAlignment="1">
      <alignment horizontal="center"/>
    </xf>
    <xf numFmtId="183" fontId="17" fillId="0" borderId="4" xfId="0" applyNumberFormat="1" applyFont="1" applyBorder="1" applyAlignment="1">
      <alignment textRotation="90" wrapText="1"/>
    </xf>
    <xf numFmtId="3" fontId="17" fillId="0" borderId="0" xfId="0" applyNumberFormat="1" applyFont="1" applyAlignment="1">
      <alignment horizontal="center" textRotation="90" wrapText="1"/>
    </xf>
    <xf numFmtId="43" fontId="2" fillId="0" borderId="0" xfId="1" applyFont="1" applyFill="1" applyBorder="1" applyAlignment="1">
      <alignment horizontal="right" vertical="center"/>
    </xf>
    <xf numFmtId="4" fontId="18" fillId="0" borderId="4" xfId="49" applyNumberFormat="1" applyFont="1" applyFill="1" applyBorder="1" applyAlignment="1"/>
    <xf numFmtId="4" fontId="18" fillId="2" borderId="4" xfId="49" applyNumberFormat="1" applyFont="1" applyFill="1" applyBorder="1" applyAlignment="1"/>
    <xf numFmtId="43" fontId="24" fillId="2" borderId="4" xfId="1" applyFont="1" applyFill="1" applyBorder="1" applyAlignment="1"/>
    <xf numFmtId="43" fontId="1" fillId="0" borderId="4" xfId="1" applyFont="1" applyFill="1" applyBorder="1" applyAlignment="1">
      <alignment vertical="center"/>
    </xf>
    <xf numFmtId="4" fontId="30" fillId="0" borderId="0" xfId="0" applyNumberFormat="1" applyFont="1"/>
    <xf numFmtId="43" fontId="53" fillId="0" borderId="0" xfId="1" applyFont="1" applyFill="1" applyBorder="1"/>
    <xf numFmtId="0" fontId="24" fillId="0" borderId="4" xfId="0" applyFont="1" applyBorder="1" applyAlignment="1">
      <alignment horizontal="left"/>
    </xf>
    <xf numFmtId="4" fontId="54" fillId="0" borderId="4" xfId="0" applyNumberFormat="1" applyFont="1" applyBorder="1" applyAlignment="1">
      <alignment horizontal="left"/>
    </xf>
    <xf numFmtId="43" fontId="24" fillId="0" borderId="4" xfId="1" applyFont="1" applyFill="1" applyBorder="1" applyAlignment="1">
      <alignment horizontal="left"/>
    </xf>
    <xf numFmtId="0" fontId="24" fillId="0" borderId="4" xfId="1" applyNumberFormat="1" applyFont="1" applyBorder="1" applyAlignment="1">
      <alignment horizontal="left"/>
    </xf>
    <xf numFmtId="43" fontId="24" fillId="0" borderId="4" xfId="1" applyFont="1" applyBorder="1" applyAlignment="1">
      <alignment horizontal="left"/>
    </xf>
    <xf numFmtId="17" fontId="53" fillId="0" borderId="0" xfId="0" applyNumberFormat="1" applyFont="1"/>
    <xf numFmtId="177" fontId="17" fillId="0" borderId="0" xfId="49" applyNumberFormat="1" applyFont="1" applyFill="1" applyBorder="1" applyAlignment="1"/>
    <xf numFmtId="17" fontId="57" fillId="0" borderId="0" xfId="0" applyNumberFormat="1" applyFont="1"/>
    <xf numFmtId="177" fontId="53" fillId="0" borderId="0" xfId="49" applyNumberFormat="1" applyFont="1" applyFill="1" applyBorder="1" applyAlignment="1"/>
    <xf numFmtId="177" fontId="53" fillId="0" borderId="0" xfId="49" applyNumberFormat="1" applyFont="1" applyFill="1" applyBorder="1"/>
    <xf numFmtId="180" fontId="53" fillId="0" borderId="0" xfId="49" applyNumberFormat="1" applyFont="1" applyFill="1" applyBorder="1" applyAlignment="1"/>
    <xf numFmtId="183" fontId="53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43" fontId="2" fillId="0" borderId="4" xfId="49" applyFont="1" applyBorder="1"/>
    <xf numFmtId="49" fontId="2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3" fontId="2" fillId="0" borderId="0" xfId="49" applyFont="1"/>
    <xf numFmtId="49" fontId="2" fillId="0" borderId="4" xfId="0" applyNumberFormat="1" applyFont="1" applyBorder="1" applyAlignment="1">
      <alignment horizontal="left"/>
    </xf>
    <xf numFmtId="43" fontId="2" fillId="0" borderId="4" xfId="49" applyFont="1" applyFill="1" applyBorder="1"/>
    <xf numFmtId="49" fontId="16" fillId="0" borderId="4" xfId="0" applyNumberFormat="1" applyFont="1" applyBorder="1" applyAlignment="1">
      <alignment horizontal="left"/>
    </xf>
    <xf numFmtId="43" fontId="16" fillId="0" borderId="4" xfId="49" applyFont="1" applyFill="1" applyBorder="1"/>
    <xf numFmtId="0" fontId="58" fillId="0" borderId="0" xfId="63" applyFont="1" applyAlignment="1">
      <alignment horizontal="left"/>
    </xf>
    <xf numFmtId="43" fontId="16" fillId="0" borderId="4" xfId="1" applyFont="1" applyFill="1" applyBorder="1"/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wrapText="1"/>
    </xf>
    <xf numFmtId="43" fontId="2" fillId="0" borderId="11" xfId="1" applyFont="1" applyBorder="1"/>
    <xf numFmtId="0" fontId="2" fillId="0" borderId="85" xfId="0" applyFont="1" applyBorder="1" applyAlignment="1">
      <alignment horizontal="left"/>
    </xf>
    <xf numFmtId="0" fontId="2" fillId="0" borderId="86" xfId="0" applyFont="1" applyBorder="1" applyAlignment="1">
      <alignment wrapText="1"/>
    </xf>
    <xf numFmtId="0" fontId="2" fillId="0" borderId="86" xfId="0" applyFont="1" applyBorder="1"/>
    <xf numFmtId="4" fontId="2" fillId="0" borderId="86" xfId="0" applyNumberFormat="1" applyFont="1" applyBorder="1"/>
    <xf numFmtId="43" fontId="1" fillId="0" borderId="0" xfId="49" applyFont="1" applyBorder="1"/>
    <xf numFmtId="43" fontId="1" fillId="0" borderId="0" xfId="1" applyFont="1" applyBorder="1"/>
    <xf numFmtId="0" fontId="39" fillId="0" borderId="87" xfId="0" applyFont="1" applyBorder="1" applyAlignment="1">
      <alignment horizontal="center"/>
    </xf>
    <xf numFmtId="0" fontId="23" fillId="0" borderId="88" xfId="0" applyFont="1" applyBorder="1" applyAlignment="1">
      <alignment horizontal="center" vertical="center"/>
    </xf>
    <xf numFmtId="0" fontId="23" fillId="0" borderId="89" xfId="0" applyFont="1" applyBorder="1" applyAlignment="1">
      <alignment horizontal="center" vertical="center"/>
    </xf>
    <xf numFmtId="0" fontId="23" fillId="0" borderId="90" xfId="0" applyFont="1" applyBorder="1" applyAlignment="1">
      <alignment horizontal="center" vertical="center"/>
    </xf>
    <xf numFmtId="0" fontId="23" fillId="0" borderId="91" xfId="0" applyFont="1" applyBorder="1" applyAlignment="1">
      <alignment horizontal="center" vertical="center"/>
    </xf>
    <xf numFmtId="4" fontId="39" fillId="0" borderId="92" xfId="0" applyNumberFormat="1" applyFont="1" applyBorder="1" applyAlignment="1">
      <alignment horizontal="left" textRotation="90"/>
    </xf>
    <xf numFmtId="4" fontId="23" fillId="0" borderId="93" xfId="0" applyNumberFormat="1" applyFont="1" applyBorder="1" applyAlignment="1">
      <alignment horizontal="left" textRotation="90"/>
    </xf>
    <xf numFmtId="4" fontId="23" fillId="0" borderId="93" xfId="0" applyNumberFormat="1" applyFont="1" applyBorder="1" applyAlignment="1">
      <alignment horizontal="center" textRotation="90"/>
    </xf>
    <xf numFmtId="4" fontId="23" fillId="0" borderId="94" xfId="0" applyNumberFormat="1" applyFont="1" applyBorder="1" applyAlignment="1">
      <alignment horizontal="center" textRotation="90"/>
    </xf>
    <xf numFmtId="49" fontId="0" fillId="0" borderId="27" xfId="0" applyNumberFormat="1" applyBorder="1"/>
    <xf numFmtId="49" fontId="0" fillId="0" borderId="29" xfId="0" applyNumberFormat="1" applyBorder="1"/>
    <xf numFmtId="43" fontId="0" fillId="0" borderId="28" xfId="1" applyFont="1" applyBorder="1"/>
    <xf numFmtId="49" fontId="0" fillId="0" borderId="9" xfId="0" applyNumberFormat="1" applyBorder="1"/>
    <xf numFmtId="49" fontId="0" fillId="0" borderId="4" xfId="0" applyNumberFormat="1" applyBorder="1"/>
    <xf numFmtId="43" fontId="0" fillId="0" borderId="1" xfId="1" applyFont="1" applyBorder="1"/>
    <xf numFmtId="49" fontId="0" fillId="0" borderId="35" xfId="0" applyNumberFormat="1" applyBorder="1"/>
    <xf numFmtId="49" fontId="0" fillId="0" borderId="41" xfId="0" applyNumberFormat="1" applyBorder="1"/>
    <xf numFmtId="43" fontId="0" fillId="0" borderId="41" xfId="1" applyFont="1" applyBorder="1"/>
    <xf numFmtId="43" fontId="0" fillId="0" borderId="40" xfId="1" applyFont="1" applyBorder="1"/>
    <xf numFmtId="43" fontId="59" fillId="0" borderId="0" xfId="1" applyFont="1" applyFill="1" applyBorder="1"/>
    <xf numFmtId="43" fontId="0" fillId="5" borderId="4" xfId="1" applyFont="1" applyFill="1" applyBorder="1"/>
    <xf numFmtId="177" fontId="21" fillId="0" borderId="0" xfId="55" applyFont="1" applyBorder="1"/>
    <xf numFmtId="4" fontId="42" fillId="0" borderId="0" xfId="0" applyNumberFormat="1" applyFont="1"/>
    <xf numFmtId="4" fontId="39" fillId="0" borderId="31" xfId="0" applyNumberFormat="1" applyFont="1" applyBorder="1" applyAlignment="1">
      <alignment horizontal="center" textRotation="90"/>
    </xf>
    <xf numFmtId="4" fontId="23" fillId="0" borderId="95" xfId="0" applyNumberFormat="1" applyFont="1" applyBorder="1" applyAlignment="1">
      <alignment horizontal="center" textRotation="90"/>
    </xf>
    <xf numFmtId="4" fontId="23" fillId="0" borderId="96" xfId="0" applyNumberFormat="1" applyFont="1" applyBorder="1" applyAlignment="1">
      <alignment horizontal="center" textRotation="90"/>
    </xf>
    <xf numFmtId="4" fontId="23" fillId="0" borderId="97" xfId="0" applyNumberFormat="1" applyFont="1" applyBorder="1" applyAlignment="1">
      <alignment horizontal="center" textRotation="90"/>
    </xf>
    <xf numFmtId="4" fontId="59" fillId="0" borderId="0" xfId="0" applyNumberFormat="1" applyFont="1"/>
    <xf numFmtId="0" fontId="60" fillId="5" borderId="29" xfId="0" applyFont="1" applyFill="1" applyBorder="1" applyAlignment="1">
      <alignment vertical="center"/>
    </xf>
    <xf numFmtId="177" fontId="0" fillId="0" borderId="29" xfId="52" applyFont="1" applyBorder="1"/>
    <xf numFmtId="0" fontId="60" fillId="0" borderId="4" xfId="0" applyFont="1" applyBorder="1" applyAlignment="1">
      <alignment vertical="center"/>
    </xf>
    <xf numFmtId="177" fontId="21" fillId="0" borderId="4" xfId="55" applyFont="1" applyBorder="1"/>
    <xf numFmtId="0" fontId="60" fillId="0" borderId="41" xfId="0" applyFont="1" applyBorder="1" applyAlignment="1">
      <alignment vertical="center"/>
    </xf>
    <xf numFmtId="0" fontId="39" fillId="0" borderId="98" xfId="0" applyFont="1" applyBorder="1" applyAlignment="1">
      <alignment horizontal="center"/>
    </xf>
    <xf numFmtId="4" fontId="23" fillId="4" borderId="31" xfId="0" applyNumberFormat="1" applyFont="1" applyFill="1" applyBorder="1" applyAlignment="1">
      <alignment horizontal="center" textRotation="90"/>
    </xf>
    <xf numFmtId="0" fontId="23" fillId="0" borderId="99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4" fontId="39" fillId="0" borderId="100" xfId="0" applyNumberFormat="1" applyFont="1" applyBorder="1" applyAlignment="1">
      <alignment horizontal="left" textRotation="90"/>
    </xf>
    <xf numFmtId="4" fontId="23" fillId="0" borderId="101" xfId="0" applyNumberFormat="1" applyFont="1" applyBorder="1" applyAlignment="1">
      <alignment horizontal="left" textRotation="90"/>
    </xf>
    <xf numFmtId="4" fontId="23" fillId="0" borderId="101" xfId="0" applyNumberFormat="1" applyFont="1" applyBorder="1" applyAlignment="1">
      <alignment horizontal="center" textRotation="90"/>
    </xf>
    <xf numFmtId="4" fontId="23" fillId="0" borderId="102" xfId="0" applyNumberFormat="1" applyFont="1" applyBorder="1" applyAlignment="1">
      <alignment horizontal="center" textRotation="90"/>
    </xf>
    <xf numFmtId="4" fontId="59" fillId="4" borderId="33" xfId="0" applyNumberFormat="1" applyFont="1" applyFill="1" applyBorder="1"/>
    <xf numFmtId="0" fontId="0" fillId="0" borderId="29" xfId="0" applyBorder="1"/>
    <xf numFmtId="43" fontId="0" fillId="0" borderId="0" xfId="1" applyFont="1" applyAlignment="1"/>
    <xf numFmtId="4" fontId="59" fillId="4" borderId="42" xfId="0" applyNumberFormat="1" applyFont="1" applyFill="1" applyBorder="1"/>
    <xf numFmtId="0" fontId="0" fillId="0" borderId="41" xfId="0" applyBorder="1"/>
    <xf numFmtId="177" fontId="0" fillId="0" borderId="0" xfId="62" applyFont="1"/>
    <xf numFmtId="0" fontId="23" fillId="4" borderId="31" xfId="0" applyFont="1" applyFill="1" applyBorder="1" applyAlignment="1">
      <alignment horizontal="center" vertical="center"/>
    </xf>
    <xf numFmtId="4" fontId="61" fillId="0" borderId="0" xfId="0" applyNumberFormat="1" applyFont="1"/>
    <xf numFmtId="0" fontId="23" fillId="4" borderId="103" xfId="0" applyFont="1" applyFill="1" applyBorder="1" applyAlignment="1">
      <alignment horizontal="center" vertical="center"/>
    </xf>
    <xf numFmtId="0" fontId="23" fillId="0" borderId="104" xfId="0" applyFont="1" applyBorder="1" applyAlignment="1">
      <alignment horizontal="center" vertical="center"/>
    </xf>
    <xf numFmtId="0" fontId="23" fillId="0" borderId="105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4" fontId="23" fillId="4" borderId="33" xfId="0" applyNumberFormat="1" applyFont="1" applyFill="1" applyBorder="1" applyAlignment="1">
      <alignment horizontal="center" textRotation="90"/>
    </xf>
    <xf numFmtId="4" fontId="39" fillId="0" borderId="100" xfId="0" applyNumberFormat="1" applyFont="1" applyBorder="1" applyAlignment="1">
      <alignment horizontal="center" textRotation="90"/>
    </xf>
    <xf numFmtId="4" fontId="59" fillId="4" borderId="45" xfId="0" applyNumberFormat="1" applyFont="1" applyFill="1" applyBorder="1"/>
    <xf numFmtId="4" fontId="15" fillId="0" borderId="107" xfId="0" applyNumberFormat="1" applyFont="1" applyBorder="1" applyAlignment="1">
      <alignment horizontal="left"/>
    </xf>
    <xf numFmtId="43" fontId="0" fillId="0" borderId="28" xfId="1" applyFont="1" applyFill="1" applyBorder="1"/>
    <xf numFmtId="4" fontId="15" fillId="0" borderId="108" xfId="0" applyNumberFormat="1" applyFont="1" applyBorder="1" applyAlignment="1">
      <alignment horizontal="left"/>
    </xf>
    <xf numFmtId="177" fontId="21" fillId="0" borderId="0" xfId="55" applyFont="1" applyFill="1" applyBorder="1"/>
    <xf numFmtId="43" fontId="19" fillId="0" borderId="4" xfId="1" applyFont="1" applyBorder="1"/>
    <xf numFmtId="4" fontId="15" fillId="0" borderId="109" xfId="0" applyNumberFormat="1" applyFont="1" applyBorder="1" applyAlignment="1">
      <alignment horizontal="left"/>
    </xf>
    <xf numFmtId="0" fontId="62" fillId="0" borderId="0" xfId="0" applyFont="1"/>
    <xf numFmtId="0" fontId="18" fillId="0" borderId="0" xfId="0" applyFont="1" applyAlignment="1">
      <alignment horizontal="left"/>
    </xf>
    <xf numFmtId="0" fontId="18" fillId="0" borderId="0" xfId="0" applyFont="1"/>
    <xf numFmtId="0" fontId="63" fillId="0" borderId="17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39" fillId="0" borderId="110" xfId="0" applyFont="1" applyBorder="1" applyAlignment="1">
      <alignment horizontal="center" vertical="top"/>
    </xf>
    <xf numFmtId="0" fontId="39" fillId="0" borderId="111" xfId="0" applyFont="1" applyBorder="1" applyAlignment="1">
      <alignment horizontal="center" vertical="top"/>
    </xf>
    <xf numFmtId="0" fontId="39" fillId="0" borderId="112" xfId="0" applyFont="1" applyBorder="1" applyAlignment="1">
      <alignment horizontal="center" vertical="top"/>
    </xf>
    <xf numFmtId="0" fontId="39" fillId="0" borderId="113" xfId="0" applyFont="1" applyBorder="1" applyAlignment="1">
      <alignment horizontal="center" vertical="top" wrapText="1"/>
    </xf>
    <xf numFmtId="0" fontId="39" fillId="4" borderId="31" xfId="0" applyFont="1" applyFill="1" applyBorder="1" applyAlignment="1">
      <alignment horizontal="center" vertical="top"/>
    </xf>
    <xf numFmtId="0" fontId="39" fillId="0" borderId="50" xfId="0" applyFont="1" applyBorder="1" applyAlignment="1">
      <alignment horizontal="center" vertical="top"/>
    </xf>
    <xf numFmtId="0" fontId="39" fillId="0" borderId="114" xfId="0" applyFont="1" applyBorder="1" applyAlignment="1">
      <alignment horizontal="center" vertical="top"/>
    </xf>
    <xf numFmtId="177" fontId="0" fillId="0" borderId="0" xfId="52" applyFont="1"/>
    <xf numFmtId="0" fontId="39" fillId="0" borderId="115" xfId="0" applyFont="1" applyBorder="1"/>
    <xf numFmtId="0" fontId="39" fillId="0" borderId="116" xfId="0" applyFont="1" applyBorder="1"/>
    <xf numFmtId="0" fontId="39" fillId="0" borderId="117" xfId="0" applyFont="1" applyBorder="1"/>
    <xf numFmtId="0" fontId="39" fillId="0" borderId="118" xfId="0" applyFont="1" applyBorder="1" applyAlignment="1">
      <alignment horizontal="center" vertical="top" wrapText="1"/>
    </xf>
    <xf numFmtId="0" fontId="39" fillId="4" borderId="48" xfId="0" applyFont="1" applyFill="1" applyBorder="1" applyAlignment="1">
      <alignment horizontal="center" vertical="top"/>
    </xf>
    <xf numFmtId="0" fontId="39" fillId="0" borderId="119" xfId="0" applyFont="1" applyBorder="1" applyAlignment="1">
      <alignment horizontal="left"/>
    </xf>
    <xf numFmtId="0" fontId="39" fillId="0" borderId="21" xfId="0" applyFont="1" applyBorder="1"/>
    <xf numFmtId="49" fontId="1" fillId="0" borderId="58" xfId="0" applyNumberFormat="1" applyFont="1" applyBorder="1"/>
    <xf numFmtId="43" fontId="1" fillId="0" borderId="53" xfId="1" applyFont="1" applyBorder="1"/>
    <xf numFmtId="43" fontId="1" fillId="0" borderId="60" xfId="1" applyFont="1" applyBorder="1"/>
    <xf numFmtId="4" fontId="18" fillId="0" borderId="120" xfId="0" applyNumberFormat="1" applyFont="1" applyBorder="1"/>
    <xf numFmtId="43" fontId="6" fillId="4" borderId="25" xfId="1" applyFont="1" applyFill="1" applyBorder="1"/>
    <xf numFmtId="49" fontId="1" fillId="0" borderId="10" xfId="0" applyNumberFormat="1" applyFont="1" applyBorder="1"/>
    <xf numFmtId="43" fontId="1" fillId="0" borderId="53" xfId="1" applyFont="1" applyFill="1" applyBorder="1"/>
    <xf numFmtId="43" fontId="1" fillId="0" borderId="121" xfId="1" applyFont="1" applyBorder="1"/>
    <xf numFmtId="43" fontId="1" fillId="0" borderId="2" xfId="1" applyFont="1" applyBorder="1"/>
    <xf numFmtId="43" fontId="1" fillId="0" borderId="121" xfId="1" applyFont="1" applyFill="1" applyBorder="1"/>
    <xf numFmtId="43" fontId="15" fillId="0" borderId="121" xfId="1" applyFont="1" applyBorder="1"/>
    <xf numFmtId="49" fontId="1" fillId="0" borderId="59" xfId="0" applyNumberFormat="1" applyFont="1" applyBorder="1"/>
    <xf numFmtId="43" fontId="1" fillId="0" borderId="48" xfId="1" applyFont="1" applyBorder="1"/>
    <xf numFmtId="43" fontId="1" fillId="0" borderId="122" xfId="1" applyFont="1" applyBorder="1"/>
    <xf numFmtId="4" fontId="18" fillId="0" borderId="21" xfId="0" applyNumberFormat="1" applyFont="1" applyBorder="1"/>
    <xf numFmtId="43" fontId="6" fillId="4" borderId="48" xfId="1" applyFont="1" applyFill="1" applyBorder="1"/>
    <xf numFmtId="43" fontId="1" fillId="0" borderId="48" xfId="1" applyFont="1" applyFill="1" applyBorder="1"/>
    <xf numFmtId="0" fontId="63" fillId="0" borderId="49" xfId="0" applyFont="1" applyBorder="1" applyAlignment="1">
      <alignment horizontal="center" vertical="center"/>
    </xf>
    <xf numFmtId="0" fontId="63" fillId="0" borderId="47" xfId="0" applyFont="1" applyBorder="1" applyAlignment="1">
      <alignment horizontal="center" vertical="center"/>
    </xf>
    <xf numFmtId="0" fontId="63" fillId="0" borderId="43" xfId="0" applyFont="1" applyBorder="1" applyAlignment="1">
      <alignment horizontal="center" vertical="center"/>
    </xf>
    <xf numFmtId="0" fontId="63" fillId="0" borderId="44" xfId="0" applyFont="1" applyBorder="1" applyAlignment="1">
      <alignment horizontal="center" vertical="center"/>
    </xf>
    <xf numFmtId="0" fontId="39" fillId="0" borderId="123" xfId="0" applyFont="1" applyBorder="1" applyAlignment="1">
      <alignment horizontal="center" vertical="top"/>
    </xf>
    <xf numFmtId="0" fontId="39" fillId="0" borderId="47" xfId="0" applyFont="1" applyBorder="1" applyAlignment="1">
      <alignment horizontal="center" vertical="top"/>
    </xf>
    <xf numFmtId="0" fontId="39" fillId="0" borderId="124" xfId="0" applyFont="1" applyBorder="1" applyAlignment="1">
      <alignment horizontal="center" vertical="top"/>
    </xf>
    <xf numFmtId="0" fontId="39" fillId="0" borderId="117" xfId="0" applyFont="1" applyBorder="1" applyAlignment="1">
      <alignment horizontal="center" vertical="top" wrapText="1"/>
    </xf>
    <xf numFmtId="0" fontId="39" fillId="0" borderId="36" xfId="0" applyFont="1" applyBorder="1" applyAlignment="1">
      <alignment horizontal="center" vertical="top"/>
    </xf>
    <xf numFmtId="0" fontId="39" fillId="0" borderId="37" xfId="0" applyFont="1" applyBorder="1" applyAlignment="1">
      <alignment horizontal="center" vertical="top"/>
    </xf>
    <xf numFmtId="0" fontId="39" fillId="0" borderId="15" xfId="0" applyFont="1" applyBorder="1"/>
    <xf numFmtId="0" fontId="39" fillId="0" borderId="31" xfId="0" applyFont="1" applyBorder="1"/>
    <xf numFmtId="0" fontId="39" fillId="0" borderId="16" xfId="0" applyFont="1" applyBorder="1"/>
    <xf numFmtId="0" fontId="39" fillId="0" borderId="17" xfId="0" applyFont="1" applyBorder="1" applyAlignment="1">
      <alignment horizontal="center" vertical="top" wrapText="1"/>
    </xf>
    <xf numFmtId="0" fontId="39" fillId="0" borderId="115" xfId="0" applyFont="1" applyBorder="1" applyAlignment="1">
      <alignment horizontal="left"/>
    </xf>
    <xf numFmtId="0" fontId="1" fillId="0" borderId="53" xfId="0" applyFont="1" applyBorder="1"/>
    <xf numFmtId="43" fontId="7" fillId="0" borderId="125" xfId="1" applyFont="1" applyBorder="1"/>
    <xf numFmtId="43" fontId="6" fillId="4" borderId="31" xfId="1" applyFont="1" applyFill="1" applyBorder="1"/>
    <xf numFmtId="0" fontId="1" fillId="0" borderId="54" xfId="0" applyFont="1" applyBorder="1"/>
    <xf numFmtId="43" fontId="7" fillId="0" borderId="126" xfId="1" applyFont="1" applyBorder="1"/>
    <xf numFmtId="43" fontId="1" fillId="0" borderId="54" xfId="1" applyFont="1" applyBorder="1"/>
    <xf numFmtId="43" fontId="1" fillId="0" borderId="54" xfId="1" applyFont="1" applyFill="1" applyBorder="1"/>
    <xf numFmtId="43" fontId="7" fillId="0" borderId="126" xfId="1" applyFont="1" applyFill="1" applyBorder="1"/>
    <xf numFmtId="0" fontId="15" fillId="0" borderId="54" xfId="0" applyFont="1" applyBorder="1"/>
    <xf numFmtId="4" fontId="18" fillId="0" borderId="127" xfId="0" applyNumberFormat="1" applyFont="1" applyBorder="1"/>
    <xf numFmtId="0" fontId="1" fillId="0" borderId="57" xfId="0" applyFont="1" applyBorder="1"/>
    <xf numFmtId="43" fontId="7" fillId="0" borderId="128" xfId="1" applyFont="1" applyBorder="1"/>
    <xf numFmtId="43" fontId="1" fillId="0" borderId="57" xfId="1" applyFont="1" applyBorder="1"/>
    <xf numFmtId="43" fontId="1" fillId="0" borderId="57" xfId="1" applyFont="1" applyFill="1" applyBorder="1"/>
    <xf numFmtId="49" fontId="6" fillId="0" borderId="0" xfId="0" applyNumberFormat="1" applyFont="1"/>
    <xf numFmtId="0" fontId="6" fillId="0" borderId="0" xfId="0" applyFont="1"/>
    <xf numFmtId="43" fontId="6" fillId="0" borderId="0" xfId="1" applyFont="1" applyBorder="1"/>
    <xf numFmtId="49" fontId="7" fillId="0" borderId="0" xfId="0" applyNumberFormat="1" applyFont="1"/>
    <xf numFmtId="0" fontId="63" fillId="0" borderId="129" xfId="0" applyFont="1" applyBorder="1" applyAlignment="1">
      <alignment horizontal="center" vertical="center"/>
    </xf>
    <xf numFmtId="0" fontId="63" fillId="0" borderId="130" xfId="0" applyFont="1" applyBorder="1" applyAlignment="1">
      <alignment horizontal="center" vertical="center"/>
    </xf>
    <xf numFmtId="0" fontId="63" fillId="0" borderId="131" xfId="0" applyFont="1" applyBorder="1" applyAlignment="1">
      <alignment horizontal="center" vertical="center"/>
    </xf>
    <xf numFmtId="0" fontId="63" fillId="0" borderId="132" xfId="0" applyFont="1" applyBorder="1" applyAlignment="1">
      <alignment horizontal="center" vertical="center"/>
    </xf>
    <xf numFmtId="0" fontId="39" fillId="0" borderId="133" xfId="0" applyFont="1" applyBorder="1" applyAlignment="1">
      <alignment horizontal="center" vertical="top"/>
    </xf>
    <xf numFmtId="0" fontId="39" fillId="0" borderId="134" xfId="0" applyFont="1" applyBorder="1" applyAlignment="1">
      <alignment horizontal="center" vertical="top"/>
    </xf>
    <xf numFmtId="0" fontId="39" fillId="0" borderId="135" xfId="0" applyFont="1" applyBorder="1" applyAlignment="1">
      <alignment horizontal="center" vertical="top"/>
    </xf>
    <xf numFmtId="0" fontId="39" fillId="4" borderId="25" xfId="0" applyFont="1" applyFill="1" applyBorder="1" applyAlignment="1">
      <alignment vertical="top"/>
    </xf>
    <xf numFmtId="0" fontId="39" fillId="0" borderId="136" xfId="0" applyFont="1" applyBorder="1" applyAlignment="1">
      <alignment horizontal="center" vertical="top"/>
    </xf>
    <xf numFmtId="0" fontId="39" fillId="0" borderId="114" xfId="0" applyFont="1" applyBorder="1"/>
    <xf numFmtId="0" fontId="39" fillId="4" borderId="48" xfId="0" applyFont="1" applyFill="1" applyBorder="1" applyAlignment="1">
      <alignment vertical="top"/>
    </xf>
    <xf numFmtId="0" fontId="23" fillId="0" borderId="50" xfId="0" applyFont="1" applyBorder="1" applyAlignment="1">
      <alignment horizontal="left"/>
    </xf>
    <xf numFmtId="0" fontId="23" fillId="0" borderId="114" xfId="0" applyFont="1" applyBorder="1"/>
    <xf numFmtId="43" fontId="18" fillId="0" borderId="107" xfId="1" applyFont="1" applyBorder="1" applyAlignment="1">
      <alignment horizontal="left"/>
    </xf>
    <xf numFmtId="43" fontId="7" fillId="0" borderId="53" xfId="1" applyFont="1" applyBorder="1"/>
    <xf numFmtId="0" fontId="39" fillId="4" borderId="33" xfId="0" applyFont="1" applyFill="1" applyBorder="1" applyAlignment="1">
      <alignment vertical="top"/>
    </xf>
    <xf numFmtId="0" fontId="24" fillId="0" borderId="58" xfId="49" applyNumberFormat="1" applyFont="1" applyBorder="1" applyAlignment="1">
      <alignment horizontal="left"/>
    </xf>
    <xf numFmtId="43" fontId="18" fillId="0" borderId="108" xfId="1" applyFont="1" applyBorder="1" applyAlignment="1">
      <alignment horizontal="left"/>
    </xf>
    <xf numFmtId="43" fontId="7" fillId="0" borderId="54" xfId="1" applyFont="1" applyBorder="1"/>
    <xf numFmtId="0" fontId="24" fillId="0" borderId="10" xfId="49" applyNumberFormat="1" applyFont="1" applyBorder="1" applyAlignment="1">
      <alignment horizontal="left"/>
    </xf>
    <xf numFmtId="43" fontId="18" fillId="0" borderId="109" xfId="1" applyFont="1" applyBorder="1" applyAlignment="1">
      <alignment horizontal="left"/>
    </xf>
    <xf numFmtId="43" fontId="7" fillId="0" borderId="57" xfId="1" applyFont="1" applyBorder="1"/>
    <xf numFmtId="0" fontId="39" fillId="4" borderId="42" xfId="0" applyFont="1" applyFill="1" applyBorder="1" applyAlignment="1">
      <alignment vertical="top"/>
    </xf>
    <xf numFmtId="0" fontId="24" fillId="0" borderId="59" xfId="49" applyNumberFormat="1" applyFont="1" applyBorder="1" applyAlignment="1">
      <alignment horizontal="left"/>
    </xf>
    <xf numFmtId="4" fontId="18" fillId="0" borderId="48" xfId="0" applyNumberFormat="1" applyFont="1" applyBorder="1"/>
    <xf numFmtId="0" fontId="39" fillId="0" borderId="15" xfId="0" applyFont="1" applyBorder="1" applyAlignment="1">
      <alignment horizontal="center" vertical="top"/>
    </xf>
    <xf numFmtId="0" fontId="39" fillId="0" borderId="31" xfId="0" applyFont="1" applyBorder="1" applyAlignment="1">
      <alignment horizontal="center" vertical="top" wrapText="1"/>
    </xf>
    <xf numFmtId="0" fontId="39" fillId="0" borderId="119" xfId="0" applyFont="1" applyBorder="1" applyAlignment="1">
      <alignment horizontal="right"/>
    </xf>
    <xf numFmtId="0" fontId="39" fillId="0" borderId="48" xfId="0" applyFont="1" applyBorder="1" applyAlignment="1">
      <alignment horizontal="center" vertical="top" wrapText="1"/>
    </xf>
    <xf numFmtId="43" fontId="1" fillId="0" borderId="2" xfId="1" applyFont="1" applyFill="1" applyBorder="1"/>
    <xf numFmtId="0" fontId="63" fillId="0" borderId="45" xfId="0" applyFont="1" applyBorder="1" applyAlignment="1">
      <alignment horizontal="center" vertical="center"/>
    </xf>
    <xf numFmtId="0" fontId="63" fillId="0" borderId="42" xfId="0" applyFont="1" applyBorder="1" applyAlignment="1">
      <alignment horizontal="center" vertical="center"/>
    </xf>
    <xf numFmtId="43" fontId="7" fillId="0" borderId="60" xfId="1" applyFont="1" applyBorder="1"/>
    <xf numFmtId="43" fontId="7" fillId="0" borderId="2" xfId="1" applyFont="1" applyBorder="1"/>
    <xf numFmtId="43" fontId="7" fillId="0" borderId="122" xfId="1" applyFont="1" applyBorder="1"/>
    <xf numFmtId="0" fontId="63" fillId="0" borderId="123" xfId="0" applyFont="1" applyBorder="1" applyAlignment="1">
      <alignment horizontal="center" vertical="center"/>
    </xf>
    <xf numFmtId="0" fontId="63" fillId="0" borderId="110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top" wrapText="1"/>
    </xf>
    <xf numFmtId="43" fontId="1" fillId="0" borderId="21" xfId="1" applyFont="1" applyBorder="1"/>
    <xf numFmtId="49" fontId="18" fillId="0" borderId="108" xfId="1" applyNumberFormat="1" applyFont="1" applyBorder="1" applyAlignment="1">
      <alignment horizontal="left"/>
    </xf>
    <xf numFmtId="49" fontId="1" fillId="0" borderId="10" xfId="0" applyNumberFormat="1" applyFont="1" applyBorder="1" quotePrefix="1"/>
    <xf numFmtId="4" fontId="15" fillId="0" borderId="107" xfId="0" applyNumberFormat="1" applyFont="1" applyBorder="1" applyAlignment="1" quotePrefix="1">
      <alignment horizontal="left"/>
    </xf>
    <xf numFmtId="4" fontId="15" fillId="0" borderId="108" xfId="0" applyNumberFormat="1" applyFont="1" applyBorder="1" applyAlignment="1" quotePrefix="1">
      <alignment horizontal="left"/>
    </xf>
    <xf numFmtId="4" fontId="15" fillId="0" borderId="109" xfId="0" applyNumberFormat="1" applyFont="1" applyBorder="1" applyAlignment="1" quotePrefix="1">
      <alignment horizontal="left"/>
    </xf>
    <xf numFmtId="0" fontId="2" fillId="0" borderId="4" xfId="0" applyFont="1" applyBorder="1" applyAlignment="1" quotePrefix="1">
      <alignment horizontal="left"/>
    </xf>
    <xf numFmtId="4" fontId="23" fillId="0" borderId="24" xfId="0" applyNumberFormat="1" applyFont="1" applyBorder="1" applyAlignment="1" quotePrefix="1">
      <alignment horizontal="right" wrapText="1"/>
    </xf>
    <xf numFmtId="43" fontId="23" fillId="0" borderId="23" xfId="1" applyFont="1" applyBorder="1" applyAlignment="1" quotePrefix="1">
      <alignment horizontal="left"/>
    </xf>
    <xf numFmtId="4" fontId="23" fillId="0" borderId="24" xfId="0" applyNumberFormat="1" applyFont="1" applyBorder="1" applyAlignment="1" quotePrefix="1">
      <alignment horizontal="right"/>
    </xf>
    <xf numFmtId="4" fontId="23" fillId="0" borderId="11" xfId="0" applyNumberFormat="1" applyFont="1" applyBorder="1" applyAlignment="1" quotePrefix="1">
      <alignment horizontal="center"/>
    </xf>
    <xf numFmtId="43" fontId="23" fillId="0" borderId="65" xfId="1" applyFont="1" applyBorder="1" quotePrefix="1"/>
    <xf numFmtId="49" fontId="1" fillId="0" borderId="4" xfId="0" applyNumberFormat="1" applyFont="1" applyBorder="1" quotePrefix="1"/>
    <xf numFmtId="0" fontId="7" fillId="0" borderId="0" xfId="49" applyNumberFormat="1" applyFont="1" quotePrefix="1"/>
    <xf numFmtId="49" fontId="7" fillId="0" borderId="4" xfId="53" applyNumberFormat="1" applyFont="1" applyFill="1" applyBorder="1" quotePrefix="1"/>
    <xf numFmtId="0" fontId="7" fillId="0" borderId="0" xfId="49" applyNumberFormat="1" applyFont="1" applyAlignment="1" quotePrefix="1">
      <alignment horizontal="left"/>
    </xf>
    <xf numFmtId="0" fontId="1" fillId="0" borderId="4" xfId="0" applyFont="1" applyBorder="1" quotePrefix="1"/>
    <xf numFmtId="0" fontId="1" fillId="0" borderId="6" xfId="0" applyFont="1" applyBorder="1" quotePrefix="1"/>
    <xf numFmtId="0" fontId="7" fillId="0" borderId="4" xfId="0" applyFont="1" applyBorder="1" quotePrefix="1"/>
    <xf numFmtId="0" fontId="7" fillId="0" borderId="4" xfId="0" applyFont="1" applyBorder="1" applyAlignment="1" quotePrefix="1">
      <alignment horizontal="left"/>
    </xf>
    <xf numFmtId="49" fontId="7" fillId="0" borderId="4" xfId="0" applyNumberFormat="1" applyFont="1" applyBorder="1" quotePrefix="1"/>
    <xf numFmtId="0" fontId="9" fillId="0" borderId="4" xfId="63" applyFont="1" applyBorder="1" applyAlignment="1" quotePrefix="1">
      <alignment horizontal="left"/>
    </xf>
    <xf numFmtId="0" fontId="7" fillId="0" borderId="4" xfId="0" applyFont="1" applyBorder="1" applyAlignment="1" quotePrefix="1">
      <alignment vertical="center"/>
    </xf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2 2 2" xfId="51"/>
    <cellStyle name="Comma 2 3" xfId="52"/>
    <cellStyle name="Comma 3" xfId="53"/>
    <cellStyle name="Comma 3 2" xfId="54"/>
    <cellStyle name="Comma 4" xfId="55"/>
    <cellStyle name="Comma 4 2" xfId="56"/>
    <cellStyle name="Comma 5" xfId="57"/>
    <cellStyle name="Comma 5 2" xfId="58"/>
    <cellStyle name="Comma 6" xfId="59"/>
    <cellStyle name="Comma 6 2" xfId="60"/>
    <cellStyle name="Comma 7" xfId="61"/>
    <cellStyle name="Comma 8" xfId="62"/>
    <cellStyle name="Normal 2" xfId="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customXml" Target="../ink/ink2.xm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0</xdr:colOff>
      <xdr:row>17</xdr:row>
      <xdr:rowOff>111631</xdr:rowOff>
    </xdr:from>
    <xdr:to>
      <xdr:col>19</xdr:col>
      <xdr:colOff>360</xdr:colOff>
      <xdr:row>17</xdr:row>
      <xdr:rowOff>111991</xdr:rowOff>
    </xdr:to>
    <xdr:contentPart xmlns:xdr14="http://schemas.microsoft.com/office/excel/2010/spreadsheetDrawing" r:id="rId1">
      <xdr14:nvContentPartPr>
        <xdr14:cNvPr id="2" name="Ink 1"/>
        <xdr14:cNvContentPartPr/>
      </xdr14:nvContentPartPr>
      <xdr14:nvPr/>
      <xdr14:xfrm>
        <a:off x="20321270" y="3616325"/>
        <a:ext cx="0" cy="635"/>
      </xdr14:xfrm>
    </xdr:contentPart>
    <xdr:clientData/>
  </xdr:twoCellAnchor>
  <xdr:twoCellAnchor editAs="oneCell">
    <xdr:from>
      <xdr:col>19</xdr:col>
      <xdr:colOff>0</xdr:colOff>
      <xdr:row>17</xdr:row>
      <xdr:rowOff>111631</xdr:rowOff>
    </xdr:from>
    <xdr:to>
      <xdr:col>19</xdr:col>
      <xdr:colOff>360</xdr:colOff>
      <xdr:row>17</xdr:row>
      <xdr:rowOff>111991</xdr:rowOff>
    </xdr:to>
    <xdr:contentPart xmlns:xdr14="http://schemas.microsoft.com/office/excel/2010/spreadsheetDrawing" r:id="rId2">
      <xdr14:nvContentPartPr>
        <xdr14:cNvPr id="3" name="Ink 2"/>
        <xdr14:cNvContentPartPr/>
      </xdr14:nvContentPartPr>
      <xdr14:nvPr/>
      <xdr14:xfrm>
        <a:off x="20321270" y="3616325"/>
        <a:ext cx="0" cy="635"/>
      </xdr14:xfrm>
    </xdr:contentPart>
    <xdr:clientData/>
  </xdr:twoCellAnchor>
  <xdr:twoCellAnchor editAs="oneCell">
    <xdr:from>
      <xdr:col>12</xdr:col>
      <xdr:colOff>1505426</xdr:colOff>
      <xdr:row>37</xdr:row>
      <xdr:rowOff>33532</xdr:rowOff>
    </xdr:from>
    <xdr:to>
      <xdr:col>12</xdr:col>
      <xdr:colOff>1505786</xdr:colOff>
      <xdr:row>37</xdr:row>
      <xdr:rowOff>33892</xdr:rowOff>
    </xdr:to>
    <xdr:contentPart xmlns:xdr14="http://schemas.microsoft.com/office/excel/2010/spreadsheetDrawing" r:id="rId3">
      <xdr14:nvContentPartPr>
        <xdr14:cNvPr id="4" name="Ink 3"/>
        <xdr14:cNvContentPartPr/>
      </xdr14:nvContentPartPr>
      <xdr14:nvPr/>
      <xdr14:xfrm>
        <a:off x="14234160" y="7538720"/>
        <a:ext cx="635" cy="635"/>
      </xdr14:xfrm>
    </xdr:contentPar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0:31"/>
    </inkml:context>
    <inkml:brush xml:id="br0">
      <inkml:brushProperty name="width" value="0.05" units="cm"/>
      <inkml:brushProperty name="height" value="0.05" units="cm"/>
      <inkml:brushProperty name="color" value="#000000"/>
    </inkml:brush>
  </inkml:definitions>
  <inkml:trace contextRef="#ctx0" brushRef="#br0">1.000 1.000 21503 0 0,'0.000'0.000'0'0'0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0:31"/>
    </inkml:context>
    <inkml:brush xml:id="br0">
      <inkml:brushProperty name="width" value="0.05" units="cm"/>
      <inkml:brushProperty name="height" value="0.05" units="cm"/>
      <inkml:brushProperty name="color" value="#000000"/>
    </inkml:brush>
  </inkml:definitions>
  <inkml:trace contextRef="#ctx0" brushRef="#br0">0.000 1.000 26823 0 0,'0.000'0.000'0'0'0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08T20:58:08"/>
    </inkml:context>
    <inkml:brush xml:id="br0">
      <inkml:brushProperty name="width" value="0.05" units="cm"/>
      <inkml:brushProperty name="height" value="0.05" units="cm"/>
      <inkml:brushProperty name="color" value="#000000"/>
    </inkml:brush>
  </inkml:definitions>
  <inkml:trace contextRef="#ctx0" brushRef="#br0">0.000 0.000 16575 0 0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zoomScale="63" zoomScaleNormal="63" topLeftCell="A60" workbookViewId="0">
      <selection activeCell="F89" sqref="F89"/>
    </sheetView>
  </sheetViews>
  <sheetFormatPr defaultColWidth="9" defaultRowHeight="22.8"/>
  <cols>
    <col min="1" max="1" width="21.4537037037037" customWidth="1"/>
    <col min="2" max="2" width="19.3611111111111" style="839" customWidth="1"/>
    <col min="3" max="3" width="83.9074074074074" style="839" customWidth="1"/>
    <col min="4" max="4" width="26.4537037037037" style="839" customWidth="1"/>
    <col min="5" max="5" width="16.4537037037037" style="839" customWidth="1"/>
    <col min="6" max="6" width="8.26851851851852" style="839" customWidth="1"/>
    <col min="7" max="7" width="14.2685185185185" style="840" customWidth="1"/>
    <col min="8" max="8" width="67.6296296296296" style="841" customWidth="1"/>
    <col min="9" max="9" width="28.4537037037037" style="839" customWidth="1"/>
    <col min="10" max="10" width="16.6296296296296" style="839" customWidth="1"/>
    <col min="11" max="11" width="25.1759259259259" customWidth="1"/>
  </cols>
  <sheetData>
    <row r="1" ht="24" customHeight="1" spans="2:10">
      <c r="B1" s="842" t="s">
        <v>0</v>
      </c>
      <c r="C1" s="843"/>
      <c r="D1" s="843"/>
      <c r="E1" s="843"/>
      <c r="F1" s="843"/>
      <c r="G1" s="843"/>
      <c r="H1" s="843"/>
      <c r="I1" s="843"/>
      <c r="J1" s="843"/>
    </row>
    <row r="2" ht="11.5" customHeight="1" spans="2:10">
      <c r="B2" s="842"/>
      <c r="C2" s="843"/>
      <c r="D2" s="843"/>
      <c r="E2" s="843"/>
      <c r="F2" s="843"/>
      <c r="G2" s="843"/>
      <c r="H2" s="843"/>
      <c r="I2" s="843"/>
      <c r="J2" s="843"/>
    </row>
    <row r="3" ht="18.9" spans="1:11">
      <c r="A3" s="52"/>
      <c r="B3" s="844" t="s">
        <v>1</v>
      </c>
      <c r="C3" s="845"/>
      <c r="D3" s="846"/>
      <c r="E3" s="847" t="s">
        <v>2</v>
      </c>
      <c r="F3" s="848"/>
      <c r="G3" s="849" t="s">
        <v>3</v>
      </c>
      <c r="H3" s="850"/>
      <c r="I3" s="934"/>
      <c r="J3" s="935" t="s">
        <v>4</v>
      </c>
      <c r="K3" s="52"/>
    </row>
    <row r="4" ht="36" customHeight="1" spans="1:11">
      <c r="A4" s="851"/>
      <c r="B4" s="852" t="s">
        <v>5</v>
      </c>
      <c r="C4" s="853" t="s">
        <v>6</v>
      </c>
      <c r="D4" s="854" t="s">
        <v>7</v>
      </c>
      <c r="E4" s="855"/>
      <c r="F4" s="856"/>
      <c r="G4" s="857" t="s">
        <v>5</v>
      </c>
      <c r="H4" s="858" t="s">
        <v>6</v>
      </c>
      <c r="I4" s="936" t="s">
        <v>7</v>
      </c>
      <c r="J4" s="937"/>
      <c r="K4" s="634"/>
    </row>
    <row r="5" ht="26" customHeight="1" spans="1:11">
      <c r="A5" s="52"/>
      <c r="B5" s="859" t="s">
        <v>8</v>
      </c>
      <c r="C5" s="860" t="s">
        <v>9</v>
      </c>
      <c r="D5" s="861">
        <v>1829839752942.96</v>
      </c>
      <c r="E5" s="862">
        <v>11.8619151097772</v>
      </c>
      <c r="F5" s="863"/>
      <c r="G5" s="864" t="s">
        <v>10</v>
      </c>
      <c r="H5" s="865" t="s">
        <v>11</v>
      </c>
      <c r="I5" s="867">
        <v>12955028202466.8</v>
      </c>
      <c r="J5" s="862">
        <v>62.8931247796352</v>
      </c>
      <c r="K5" s="52"/>
    </row>
    <row r="6" ht="26" customHeight="1" spans="1:11">
      <c r="A6" s="52"/>
      <c r="B6" s="864" t="s">
        <v>12</v>
      </c>
      <c r="C6" s="866" t="s">
        <v>13</v>
      </c>
      <c r="D6" s="867">
        <v>1761376947107.66</v>
      </c>
      <c r="E6" s="862">
        <v>11.4181057599752</v>
      </c>
      <c r="F6" s="863"/>
      <c r="G6" s="864" t="s">
        <v>14</v>
      </c>
      <c r="H6" s="868" t="s">
        <v>15</v>
      </c>
      <c r="I6" s="938">
        <v>1932587982688.39</v>
      </c>
      <c r="J6" s="900">
        <v>9.38218699668291</v>
      </c>
      <c r="K6" s="52"/>
    </row>
    <row r="7" ht="26" customHeight="1" spans="1:11">
      <c r="A7" s="52"/>
      <c r="B7" s="864" t="s">
        <v>10</v>
      </c>
      <c r="C7" s="868" t="s">
        <v>11</v>
      </c>
      <c r="D7" s="867">
        <v>1188248267913</v>
      </c>
      <c r="E7" s="862">
        <v>7.70280570233253</v>
      </c>
      <c r="F7" s="863"/>
      <c r="G7" s="864" t="s">
        <v>16</v>
      </c>
      <c r="H7" s="868" t="s">
        <v>17</v>
      </c>
      <c r="I7" s="867">
        <v>1780826867410.68</v>
      </c>
      <c r="J7" s="900">
        <v>8.64542821772169</v>
      </c>
      <c r="K7" s="52"/>
    </row>
    <row r="8" ht="26" customHeight="1" spans="1:11">
      <c r="A8" s="52"/>
      <c r="B8" s="864" t="s">
        <v>18</v>
      </c>
      <c r="C8" s="868" t="s">
        <v>19</v>
      </c>
      <c r="D8" s="867">
        <v>305734943315</v>
      </c>
      <c r="E8" s="862">
        <v>1.98192324648229</v>
      </c>
      <c r="F8" s="863"/>
      <c r="G8" s="864" t="s">
        <v>20</v>
      </c>
      <c r="H8" s="868" t="s">
        <v>21</v>
      </c>
      <c r="I8" s="867">
        <v>855853772946.76</v>
      </c>
      <c r="J8" s="900">
        <v>4.15493639178746</v>
      </c>
      <c r="K8" s="52"/>
    </row>
    <row r="9" ht="26" customHeight="1" spans="1:11">
      <c r="A9" s="52"/>
      <c r="B9" s="864" t="s">
        <v>22</v>
      </c>
      <c r="C9" s="866" t="s">
        <v>23</v>
      </c>
      <c r="D9" s="867">
        <v>298332338138</v>
      </c>
      <c r="E9" s="862">
        <v>1.93393594373649</v>
      </c>
      <c r="F9" s="863"/>
      <c r="G9" s="864" t="s">
        <v>24</v>
      </c>
      <c r="H9" s="868" t="s">
        <v>25</v>
      </c>
      <c r="I9" s="867">
        <v>719904997809.62</v>
      </c>
      <c r="J9" s="900">
        <v>3.49494220692643</v>
      </c>
      <c r="K9" s="52"/>
    </row>
    <row r="10" ht="26" customHeight="1" spans="1:11">
      <c r="A10" s="52"/>
      <c r="B10" s="864" t="s">
        <v>26</v>
      </c>
      <c r="C10" s="866" t="s">
        <v>27</v>
      </c>
      <c r="D10" s="867">
        <v>209206796885</v>
      </c>
      <c r="E10" s="862">
        <v>1.3561806497247</v>
      </c>
      <c r="F10" s="863"/>
      <c r="G10" s="949" t="s">
        <v>28</v>
      </c>
      <c r="H10" s="868" t="s">
        <v>29</v>
      </c>
      <c r="I10" s="867">
        <v>508271847984.02</v>
      </c>
      <c r="J10" s="900">
        <v>2.46752104724464</v>
      </c>
      <c r="K10" s="52"/>
    </row>
    <row r="11" ht="26" customHeight="1" spans="1:11">
      <c r="A11" s="52"/>
      <c r="B11" s="864" t="s">
        <v>30</v>
      </c>
      <c r="C11" s="866" t="s">
        <v>31</v>
      </c>
      <c r="D11" s="867">
        <v>142576998768</v>
      </c>
      <c r="E11" s="862">
        <v>0.924253751331383</v>
      </c>
      <c r="F11" s="863"/>
      <c r="G11" s="864" t="s">
        <v>32</v>
      </c>
      <c r="H11" s="868" t="s">
        <v>33</v>
      </c>
      <c r="I11" s="867">
        <v>315242409730.33</v>
      </c>
      <c r="J11" s="900">
        <v>1.53041582782717</v>
      </c>
      <c r="K11" s="52"/>
    </row>
    <row r="12" ht="26" customHeight="1" spans="1:11">
      <c r="A12" s="52"/>
      <c r="B12" s="864" t="s">
        <v>34</v>
      </c>
      <c r="C12" s="866" t="s">
        <v>35</v>
      </c>
      <c r="D12" s="867">
        <v>137384398462</v>
      </c>
      <c r="E12" s="862">
        <v>0.89059277969181</v>
      </c>
      <c r="F12" s="863"/>
      <c r="G12" s="864" t="s">
        <v>36</v>
      </c>
      <c r="H12" s="868" t="s">
        <v>37</v>
      </c>
      <c r="I12" s="867">
        <v>165816901561.03</v>
      </c>
      <c r="J12" s="900">
        <v>0.804995783680701</v>
      </c>
      <c r="K12" s="52"/>
    </row>
    <row r="13" ht="26" customHeight="1" spans="1:11">
      <c r="A13" s="52"/>
      <c r="B13" s="864" t="s">
        <v>38</v>
      </c>
      <c r="C13" s="866" t="s">
        <v>39</v>
      </c>
      <c r="D13" s="867">
        <v>135996270565</v>
      </c>
      <c r="E13" s="862">
        <v>0.881594256597509</v>
      </c>
      <c r="F13" s="863"/>
      <c r="G13" s="864" t="s">
        <v>40</v>
      </c>
      <c r="H13" s="868" t="s">
        <v>41</v>
      </c>
      <c r="I13" s="867">
        <v>157634948094.828</v>
      </c>
      <c r="J13" s="900">
        <v>0.76527463354125</v>
      </c>
      <c r="K13" s="52"/>
    </row>
    <row r="14" ht="26" customHeight="1" spans="1:11">
      <c r="A14" s="52"/>
      <c r="B14" s="864" t="s">
        <v>42</v>
      </c>
      <c r="C14" s="866" t="s">
        <v>43</v>
      </c>
      <c r="D14" s="867">
        <v>130726300984</v>
      </c>
      <c r="E14" s="862">
        <v>0.847431739524421</v>
      </c>
      <c r="F14" s="863"/>
      <c r="G14" s="864" t="s">
        <v>44</v>
      </c>
      <c r="H14" s="868" t="s">
        <v>45</v>
      </c>
      <c r="I14" s="867">
        <v>128180168389.95</v>
      </c>
      <c r="J14" s="900">
        <v>0.622279720185305</v>
      </c>
      <c r="K14" s="52"/>
    </row>
    <row r="15" ht="26" customHeight="1" spans="1:11">
      <c r="A15" s="52"/>
      <c r="B15" s="864" t="s">
        <v>46</v>
      </c>
      <c r="C15" s="869" t="s">
        <v>47</v>
      </c>
      <c r="D15" s="867">
        <v>125294286496</v>
      </c>
      <c r="E15" s="862">
        <v>0.812218768209252</v>
      </c>
      <c r="F15" s="863"/>
      <c r="G15" s="864" t="s">
        <v>48</v>
      </c>
      <c r="H15" s="868" t="s">
        <v>49</v>
      </c>
      <c r="I15" s="867">
        <v>109557203659.13</v>
      </c>
      <c r="J15" s="900">
        <v>0.531870311091222</v>
      </c>
      <c r="K15" s="52"/>
    </row>
    <row r="16" ht="26" customHeight="1" spans="1:11">
      <c r="A16" s="52"/>
      <c r="B16" s="864" t="s">
        <v>50</v>
      </c>
      <c r="C16" s="866" t="s">
        <v>51</v>
      </c>
      <c r="D16" s="867">
        <v>121990687659</v>
      </c>
      <c r="E16" s="862">
        <v>0.790803226821965</v>
      </c>
      <c r="F16" s="863"/>
      <c r="G16" s="949" t="s">
        <v>52</v>
      </c>
      <c r="H16" s="868" t="s">
        <v>53</v>
      </c>
      <c r="I16" s="867">
        <v>93157799297.49</v>
      </c>
      <c r="J16" s="900">
        <v>0.452255680485329</v>
      </c>
      <c r="K16" s="52"/>
    </row>
    <row r="17" ht="26" customHeight="1" spans="1:11">
      <c r="A17" s="52"/>
      <c r="B17" s="864" t="s">
        <v>54</v>
      </c>
      <c r="C17" s="866" t="s">
        <v>55</v>
      </c>
      <c r="D17" s="867">
        <v>120265864630</v>
      </c>
      <c r="E17" s="862">
        <v>0.779622081414844</v>
      </c>
      <c r="F17" s="863"/>
      <c r="G17" s="864" t="s">
        <v>56</v>
      </c>
      <c r="H17" s="868" t="s">
        <v>57</v>
      </c>
      <c r="I17" s="867">
        <v>88567364416.65</v>
      </c>
      <c r="J17" s="900">
        <v>0.429970372476622</v>
      </c>
      <c r="K17" s="52"/>
    </row>
    <row r="18" ht="26" customHeight="1" spans="1:11">
      <c r="A18" s="52"/>
      <c r="B18" s="864" t="s">
        <v>58</v>
      </c>
      <c r="C18" s="866" t="s">
        <v>59</v>
      </c>
      <c r="D18" s="867">
        <v>115702081474</v>
      </c>
      <c r="E18" s="862">
        <v>0.750037409703107</v>
      </c>
      <c r="F18" s="863"/>
      <c r="G18" s="864" t="s">
        <v>60</v>
      </c>
      <c r="H18" s="868" t="s">
        <v>61</v>
      </c>
      <c r="I18" s="867">
        <v>80053772313.83</v>
      </c>
      <c r="J18" s="900">
        <v>0.388639207304506</v>
      </c>
      <c r="K18" s="52"/>
    </row>
    <row r="19" ht="26" customHeight="1" spans="1:11">
      <c r="A19" s="52"/>
      <c r="B19" s="870" t="s">
        <v>62</v>
      </c>
      <c r="C19" s="871" t="s">
        <v>63</v>
      </c>
      <c r="D19" s="872">
        <v>102080769063</v>
      </c>
      <c r="E19" s="873">
        <v>0.661737408982731</v>
      </c>
      <c r="F19" s="874"/>
      <c r="G19" s="870" t="s">
        <v>64</v>
      </c>
      <c r="H19" s="875" t="s">
        <v>65</v>
      </c>
      <c r="I19" s="872">
        <v>66317051323.04</v>
      </c>
      <c r="J19" s="933">
        <v>0.321951177465074</v>
      </c>
      <c r="K19" s="52"/>
    </row>
    <row r="22" ht="23.25" customHeight="1" spans="2:10">
      <c r="B22" s="876" t="s">
        <v>66</v>
      </c>
      <c r="C22" s="877"/>
      <c r="D22" s="877"/>
      <c r="E22" s="877"/>
      <c r="F22" s="877"/>
      <c r="G22" s="877"/>
      <c r="H22" s="877"/>
      <c r="I22" s="877"/>
      <c r="J22" s="939"/>
    </row>
    <row r="23" ht="18" customHeight="1" spans="2:11">
      <c r="B23" s="878"/>
      <c r="C23" s="879"/>
      <c r="D23" s="879"/>
      <c r="E23" s="879"/>
      <c r="F23" s="879"/>
      <c r="G23" s="879"/>
      <c r="H23" s="879"/>
      <c r="I23" s="879"/>
      <c r="J23" s="940"/>
      <c r="K23" s="52"/>
    </row>
    <row r="24" ht="20" customHeight="1" spans="1:11">
      <c r="A24" s="53"/>
      <c r="B24" s="880" t="s">
        <v>1</v>
      </c>
      <c r="C24" s="881"/>
      <c r="D24" s="882"/>
      <c r="E24" s="883" t="s">
        <v>67</v>
      </c>
      <c r="F24" s="848"/>
      <c r="G24" s="884" t="s">
        <v>68</v>
      </c>
      <c r="H24" s="885"/>
      <c r="I24" s="885"/>
      <c r="J24" s="935" t="s">
        <v>69</v>
      </c>
      <c r="K24" s="53"/>
    </row>
    <row r="25" ht="37.25" customHeight="1" spans="1:11">
      <c r="A25" s="52"/>
      <c r="B25" s="886" t="s">
        <v>5</v>
      </c>
      <c r="C25" s="887" t="s">
        <v>6</v>
      </c>
      <c r="D25" s="888" t="s">
        <v>7</v>
      </c>
      <c r="E25" s="889"/>
      <c r="F25" s="856"/>
      <c r="G25" s="890" t="s">
        <v>5</v>
      </c>
      <c r="H25" s="853" t="s">
        <v>6</v>
      </c>
      <c r="I25" s="854" t="s">
        <v>7</v>
      </c>
      <c r="J25" s="937"/>
      <c r="K25" s="52"/>
    </row>
    <row r="26" ht="26" customHeight="1" spans="1:11">
      <c r="A26" s="52"/>
      <c r="B26" s="859" t="s">
        <v>10</v>
      </c>
      <c r="C26" s="891" t="s">
        <v>11</v>
      </c>
      <c r="D26" s="892">
        <v>122366703583.02</v>
      </c>
      <c r="E26" s="860">
        <v>15.9576688546124</v>
      </c>
      <c r="F26" s="893"/>
      <c r="G26" s="859" t="s">
        <v>10</v>
      </c>
      <c r="H26" s="865" t="s">
        <v>11</v>
      </c>
      <c r="I26" s="941">
        <v>1487166479265.53</v>
      </c>
      <c r="J26" s="860">
        <v>80.2457804718281</v>
      </c>
      <c r="K26" s="52"/>
    </row>
    <row r="27" ht="26" customHeight="1" spans="1:11">
      <c r="A27" s="52"/>
      <c r="B27" s="864" t="s">
        <v>12</v>
      </c>
      <c r="C27" s="894" t="s">
        <v>13</v>
      </c>
      <c r="D27" s="895">
        <v>89179185720</v>
      </c>
      <c r="E27" s="896">
        <v>11.6297315591103</v>
      </c>
      <c r="F27" s="863"/>
      <c r="G27" s="864" t="s">
        <v>64</v>
      </c>
      <c r="H27" s="897" t="s">
        <v>65</v>
      </c>
      <c r="I27" s="942">
        <v>66317051323.04</v>
      </c>
      <c r="J27" s="896">
        <v>3.57839126701931</v>
      </c>
      <c r="K27" s="52"/>
    </row>
    <row r="28" ht="26" customHeight="1" spans="1:11">
      <c r="A28" s="52"/>
      <c r="B28" s="864" t="s">
        <v>70</v>
      </c>
      <c r="C28" s="894" t="s">
        <v>71</v>
      </c>
      <c r="D28" s="898">
        <v>70741534098</v>
      </c>
      <c r="E28" s="896">
        <v>9.22530347184905</v>
      </c>
      <c r="F28" s="863"/>
      <c r="G28" s="864" t="s">
        <v>72</v>
      </c>
      <c r="H28" s="897" t="s">
        <v>73</v>
      </c>
      <c r="I28" s="942">
        <v>65649389711.858</v>
      </c>
      <c r="J28" s="896">
        <v>3.54236501990618</v>
      </c>
      <c r="K28" s="52"/>
    </row>
    <row r="29" ht="26" customHeight="1" spans="1:11">
      <c r="A29" s="52"/>
      <c r="B29" s="864" t="s">
        <v>74</v>
      </c>
      <c r="C29" s="894" t="s">
        <v>75</v>
      </c>
      <c r="D29" s="898">
        <v>44571854081</v>
      </c>
      <c r="E29" s="896">
        <v>5.81255249045869</v>
      </c>
      <c r="F29" s="863"/>
      <c r="G29" s="864" t="s">
        <v>48</v>
      </c>
      <c r="H29" s="897" t="s">
        <v>49</v>
      </c>
      <c r="I29" s="942">
        <v>27562910788.43</v>
      </c>
      <c r="J29" s="896">
        <v>1.48726273697702</v>
      </c>
      <c r="K29" s="52"/>
    </row>
    <row r="30" ht="26" customHeight="1" spans="1:11">
      <c r="A30" s="52"/>
      <c r="B30" s="864" t="s">
        <v>76</v>
      </c>
      <c r="C30" s="894" t="s">
        <v>77</v>
      </c>
      <c r="D30" s="895">
        <v>25839773905</v>
      </c>
      <c r="E30" s="896">
        <v>3.36972839163139</v>
      </c>
      <c r="F30" s="863"/>
      <c r="G30" s="864" t="s">
        <v>20</v>
      </c>
      <c r="H30" s="897" t="s">
        <v>21</v>
      </c>
      <c r="I30" s="942">
        <v>25101159246.27</v>
      </c>
      <c r="J30" s="896">
        <v>1.35442947548103</v>
      </c>
      <c r="K30" s="52"/>
    </row>
    <row r="31" ht="26" customHeight="1" spans="1:11">
      <c r="A31" s="52"/>
      <c r="B31" s="864" t="s">
        <v>78</v>
      </c>
      <c r="C31" s="894" t="s">
        <v>79</v>
      </c>
      <c r="D31" s="895">
        <v>23479893171</v>
      </c>
      <c r="E31" s="896">
        <v>3.06197968069221</v>
      </c>
      <c r="F31" s="863"/>
      <c r="G31" s="864" t="s">
        <v>80</v>
      </c>
      <c r="H31" s="897" t="s">
        <v>81</v>
      </c>
      <c r="I31" s="942">
        <v>22749133240</v>
      </c>
      <c r="J31" s="896">
        <v>1.22751687679444</v>
      </c>
      <c r="K31" s="52"/>
    </row>
    <row r="32" ht="26" customHeight="1" spans="1:11">
      <c r="A32" s="52"/>
      <c r="B32" s="864" t="s">
        <v>8</v>
      </c>
      <c r="C32" s="899" t="s">
        <v>9</v>
      </c>
      <c r="D32" s="895">
        <v>23152577508</v>
      </c>
      <c r="E32" s="896">
        <v>3.01929490772586</v>
      </c>
      <c r="F32" s="863"/>
      <c r="G32" s="864" t="s">
        <v>52</v>
      </c>
      <c r="H32" s="897" t="s">
        <v>53</v>
      </c>
      <c r="I32" s="942">
        <v>21660535733.32</v>
      </c>
      <c r="J32" s="896">
        <v>1.16877741637682</v>
      </c>
      <c r="K32" s="52"/>
    </row>
    <row r="33" ht="26" customHeight="1" spans="1:11">
      <c r="A33" s="52"/>
      <c r="B33" s="864" t="s">
        <v>82</v>
      </c>
      <c r="C33" s="894" t="s">
        <v>83</v>
      </c>
      <c r="D33" s="895">
        <v>21886952330</v>
      </c>
      <c r="E33" s="896">
        <v>2.85424651716525</v>
      </c>
      <c r="F33" s="863"/>
      <c r="G33" s="864" t="s">
        <v>84</v>
      </c>
      <c r="H33" s="897" t="s">
        <v>85</v>
      </c>
      <c r="I33" s="942">
        <v>19849506122.33</v>
      </c>
      <c r="J33" s="896">
        <v>1.07105635648361</v>
      </c>
      <c r="K33" s="52"/>
    </row>
    <row r="34" ht="26" customHeight="1" spans="1:11">
      <c r="A34" s="52"/>
      <c r="B34" s="864" t="s">
        <v>86</v>
      </c>
      <c r="C34" s="894" t="s">
        <v>87</v>
      </c>
      <c r="D34" s="895">
        <v>20580608306</v>
      </c>
      <c r="E34" s="896">
        <v>2.68388803945199</v>
      </c>
      <c r="F34" s="863"/>
      <c r="G34" s="864" t="s">
        <v>56</v>
      </c>
      <c r="H34" s="897" t="s">
        <v>57</v>
      </c>
      <c r="I34" s="942">
        <v>9465969821.76</v>
      </c>
      <c r="J34" s="896">
        <v>0.510772766102857</v>
      </c>
      <c r="K34" s="52"/>
    </row>
    <row r="35" ht="26" customHeight="1" spans="1:11">
      <c r="A35" s="52"/>
      <c r="B35" s="864" t="s">
        <v>34</v>
      </c>
      <c r="C35" s="899" t="s">
        <v>35</v>
      </c>
      <c r="D35" s="895">
        <v>20353506036</v>
      </c>
      <c r="E35" s="896">
        <v>2.65427195341979</v>
      </c>
      <c r="F35" s="863"/>
      <c r="G35" s="864" t="s">
        <v>88</v>
      </c>
      <c r="H35" s="897" t="s">
        <v>89</v>
      </c>
      <c r="I35" s="942">
        <v>8985759677.78</v>
      </c>
      <c r="J35" s="896">
        <v>0.484861183014194</v>
      </c>
      <c r="K35" s="52"/>
    </row>
    <row r="36" ht="26" customHeight="1" spans="1:11">
      <c r="A36" s="52"/>
      <c r="B36" s="864" t="s">
        <v>90</v>
      </c>
      <c r="C36" s="894" t="s">
        <v>91</v>
      </c>
      <c r="D36" s="895">
        <v>17514003090</v>
      </c>
      <c r="E36" s="896">
        <v>2.2839763877374</v>
      </c>
      <c r="F36" s="863"/>
      <c r="G36" s="864" t="s">
        <v>92</v>
      </c>
      <c r="H36" s="897" t="s">
        <v>93</v>
      </c>
      <c r="I36" s="942">
        <v>8606012484.16</v>
      </c>
      <c r="J36" s="896">
        <v>0.464370464349614</v>
      </c>
      <c r="K36" s="52"/>
    </row>
    <row r="37" ht="26" customHeight="1" spans="1:11">
      <c r="A37" s="52"/>
      <c r="B37" s="864" t="s">
        <v>94</v>
      </c>
      <c r="C37" s="894" t="s">
        <v>95</v>
      </c>
      <c r="D37" s="895">
        <v>17322389388</v>
      </c>
      <c r="E37" s="896">
        <v>2.25898831569664</v>
      </c>
      <c r="F37" s="863"/>
      <c r="G37" s="864" t="s">
        <v>96</v>
      </c>
      <c r="H37" s="897" t="s">
        <v>97</v>
      </c>
      <c r="I37" s="942">
        <v>8087772294.72</v>
      </c>
      <c r="J37" s="896">
        <v>0.436406824062335</v>
      </c>
      <c r="K37" s="52"/>
    </row>
    <row r="38" ht="26" customHeight="1" spans="1:11">
      <c r="A38" s="52"/>
      <c r="B38" s="949" t="s">
        <v>64</v>
      </c>
      <c r="C38" s="894" t="s">
        <v>65</v>
      </c>
      <c r="D38" s="895">
        <v>15041907147</v>
      </c>
      <c r="E38" s="896">
        <v>1.96159385000351</v>
      </c>
      <c r="F38" s="863"/>
      <c r="G38" s="949" t="s">
        <v>98</v>
      </c>
      <c r="H38" s="900" t="s">
        <v>99</v>
      </c>
      <c r="I38" s="942">
        <v>7984173202</v>
      </c>
      <c r="J38" s="896">
        <v>0.430816737029446</v>
      </c>
      <c r="K38" s="52"/>
    </row>
    <row r="39" ht="26" customHeight="1" spans="1:11">
      <c r="A39" s="52"/>
      <c r="B39" s="864" t="s">
        <v>100</v>
      </c>
      <c r="C39" s="894" t="s">
        <v>101</v>
      </c>
      <c r="D39" s="895">
        <v>12341888966</v>
      </c>
      <c r="E39" s="896">
        <v>1.60948829536953</v>
      </c>
      <c r="F39" s="863"/>
      <c r="G39" s="864" t="s">
        <v>102</v>
      </c>
      <c r="H39" s="897" t="s">
        <v>103</v>
      </c>
      <c r="I39" s="942">
        <v>7785982997.74</v>
      </c>
      <c r="J39" s="896">
        <v>0.4201226231932</v>
      </c>
      <c r="K39" s="52"/>
    </row>
    <row r="40" ht="26" customHeight="1" spans="1:11">
      <c r="A40" s="52"/>
      <c r="B40" s="870" t="s">
        <v>104</v>
      </c>
      <c r="C40" s="901" t="s">
        <v>105</v>
      </c>
      <c r="D40" s="902">
        <v>10112709623</v>
      </c>
      <c r="E40" s="903">
        <v>1.31878416809031</v>
      </c>
      <c r="F40" s="874"/>
      <c r="G40" s="870" t="s">
        <v>106</v>
      </c>
      <c r="H40" s="904" t="s">
        <v>107</v>
      </c>
      <c r="I40" s="943">
        <v>4393977760</v>
      </c>
      <c r="J40" s="903">
        <v>0.237093949899404</v>
      </c>
      <c r="K40" s="52"/>
    </row>
    <row r="41" ht="17.4" spans="2:10">
      <c r="B41" s="905"/>
      <c r="C41" s="906"/>
      <c r="D41" s="907"/>
      <c r="E41" s="907"/>
      <c r="F41" s="907"/>
      <c r="G41" s="27"/>
      <c r="H41" s="776"/>
      <c r="I41"/>
      <c r="J41"/>
    </row>
    <row r="42" ht="17.4" spans="2:10">
      <c r="B42" s="905"/>
      <c r="C42" s="906"/>
      <c r="D42" s="907"/>
      <c r="E42" s="907"/>
      <c r="F42" s="907"/>
      <c r="H42" s="776"/>
      <c r="I42"/>
      <c r="J42"/>
    </row>
    <row r="43" ht="18.15" spans="2:10">
      <c r="B43" s="681"/>
      <c r="C43" s="908"/>
      <c r="D43" s="57"/>
      <c r="E43" s="57"/>
      <c r="F43" s="57"/>
      <c r="G43" s="752"/>
      <c r="H43" s="18"/>
      <c r="I43" s="38"/>
      <c r="J43" s="38"/>
    </row>
    <row r="44" ht="23.55" spans="1:10">
      <c r="A44" s="53"/>
      <c r="B44" s="909" t="s">
        <v>108</v>
      </c>
      <c r="C44" s="910"/>
      <c r="D44" s="910"/>
      <c r="E44" s="910"/>
      <c r="F44" s="910"/>
      <c r="G44" s="910"/>
      <c r="H44" s="910"/>
      <c r="I44" s="944"/>
      <c r="J44" s="939"/>
    </row>
    <row r="45" ht="24.3" spans="2:10">
      <c r="B45" s="911"/>
      <c r="C45" s="912"/>
      <c r="D45" s="912"/>
      <c r="E45" s="912"/>
      <c r="F45" s="912"/>
      <c r="G45" s="912"/>
      <c r="H45" s="912"/>
      <c r="I45" s="945"/>
      <c r="J45" s="940"/>
    </row>
    <row r="46" ht="18.15" spans="2:11">
      <c r="B46" s="913" t="s">
        <v>109</v>
      </c>
      <c r="C46" s="914"/>
      <c r="D46" s="915"/>
      <c r="E46" s="889" t="s">
        <v>110</v>
      </c>
      <c r="F46" s="916"/>
      <c r="G46" s="915" t="s">
        <v>3</v>
      </c>
      <c r="H46" s="917"/>
      <c r="I46" s="913"/>
      <c r="J46" s="946" t="s">
        <v>111</v>
      </c>
      <c r="K46" s="52"/>
    </row>
    <row r="47" ht="35.5" customHeight="1" spans="1:11">
      <c r="A47" s="52"/>
      <c r="B47" s="918" t="s">
        <v>5</v>
      </c>
      <c r="C47" s="918" t="s">
        <v>6</v>
      </c>
      <c r="D47" s="918" t="s">
        <v>7</v>
      </c>
      <c r="E47" s="889"/>
      <c r="F47" s="919"/>
      <c r="G47" s="920" t="s">
        <v>5</v>
      </c>
      <c r="H47" s="921" t="s">
        <v>6</v>
      </c>
      <c r="I47" s="886" t="s">
        <v>7</v>
      </c>
      <c r="J47" s="946"/>
      <c r="K47" s="804"/>
    </row>
    <row r="48" ht="28.5" customHeight="1" spans="1:11">
      <c r="A48" s="52"/>
      <c r="B48" s="922" t="s">
        <v>12</v>
      </c>
      <c r="C48" s="923" t="s">
        <v>13</v>
      </c>
      <c r="D48" s="861">
        <v>89179185720</v>
      </c>
      <c r="E48" s="860">
        <v>41.8569266188887</v>
      </c>
      <c r="F48" s="924"/>
      <c r="G48" s="925" t="s">
        <v>10</v>
      </c>
      <c r="H48" s="862" t="s">
        <v>11</v>
      </c>
      <c r="I48" s="860">
        <v>782440043260.59</v>
      </c>
      <c r="J48" s="860">
        <v>71.1305364717879</v>
      </c>
      <c r="K48" s="38"/>
    </row>
    <row r="49" ht="28.5" customHeight="1" spans="1:11">
      <c r="A49" s="52"/>
      <c r="B49" s="926" t="s">
        <v>8</v>
      </c>
      <c r="C49" s="927" t="s">
        <v>9</v>
      </c>
      <c r="D49" s="867">
        <v>23150207548</v>
      </c>
      <c r="E49" s="896">
        <v>10.8657253452738</v>
      </c>
      <c r="F49" s="924"/>
      <c r="G49" s="928" t="s">
        <v>64</v>
      </c>
      <c r="H49" s="900" t="s">
        <v>65</v>
      </c>
      <c r="I49" s="896">
        <v>66317051323.04</v>
      </c>
      <c r="J49" s="860">
        <v>6.02879093224512</v>
      </c>
      <c r="K49" s="38"/>
    </row>
    <row r="50" ht="28.5" customHeight="1" spans="1:11">
      <c r="A50" s="52"/>
      <c r="B50" s="926" t="s">
        <v>86</v>
      </c>
      <c r="C50" s="927" t="s">
        <v>87</v>
      </c>
      <c r="D50" s="867">
        <v>20580608306</v>
      </c>
      <c r="E50" s="896">
        <v>9.65966446857948</v>
      </c>
      <c r="F50" s="924"/>
      <c r="G50" s="928" t="s">
        <v>72</v>
      </c>
      <c r="H50" s="897" t="s">
        <v>73</v>
      </c>
      <c r="I50" s="896">
        <v>65649389711.858</v>
      </c>
      <c r="J50" s="860">
        <v>5.96809474345206</v>
      </c>
      <c r="K50" s="38"/>
    </row>
    <row r="51" ht="28.5" customHeight="1" spans="1:11">
      <c r="A51" s="52"/>
      <c r="B51" s="926" t="s">
        <v>90</v>
      </c>
      <c r="C51" s="927" t="s">
        <v>91</v>
      </c>
      <c r="D51" s="867">
        <v>17514003090</v>
      </c>
      <c r="E51" s="896">
        <v>8.22033007166956</v>
      </c>
      <c r="F51" s="924"/>
      <c r="G51" s="928" t="s">
        <v>48</v>
      </c>
      <c r="H51" s="900" t="s">
        <v>49</v>
      </c>
      <c r="I51" s="896">
        <v>27562910788.43</v>
      </c>
      <c r="J51" s="860">
        <v>2.50570589784104</v>
      </c>
      <c r="K51" s="38"/>
    </row>
    <row r="52" ht="28.5" customHeight="1" spans="1:11">
      <c r="A52" s="52"/>
      <c r="B52" s="926" t="s">
        <v>64</v>
      </c>
      <c r="C52" s="927" t="s">
        <v>65</v>
      </c>
      <c r="D52" s="867">
        <v>15041907147</v>
      </c>
      <c r="E52" s="896">
        <v>7.06003310724238</v>
      </c>
      <c r="F52" s="924"/>
      <c r="G52" s="928" t="s">
        <v>20</v>
      </c>
      <c r="H52" s="900" t="s">
        <v>21</v>
      </c>
      <c r="I52" s="896">
        <v>24257933420.63</v>
      </c>
      <c r="J52" s="860">
        <v>2.20525500039069</v>
      </c>
      <c r="K52" s="38"/>
    </row>
    <row r="53" ht="28.5" customHeight="1" spans="1:11">
      <c r="A53" s="52"/>
      <c r="B53" s="926" t="s">
        <v>112</v>
      </c>
      <c r="C53" s="927" t="s">
        <v>113</v>
      </c>
      <c r="D53" s="867">
        <v>7941709114</v>
      </c>
      <c r="E53" s="896">
        <v>3.72750135504666</v>
      </c>
      <c r="F53" s="924"/>
      <c r="G53" s="928" t="s">
        <v>52</v>
      </c>
      <c r="H53" s="900" t="s">
        <v>53</v>
      </c>
      <c r="I53" s="896">
        <v>21660535733.32</v>
      </c>
      <c r="J53" s="860">
        <v>1.96912918791434</v>
      </c>
      <c r="K53" s="38"/>
    </row>
    <row r="54" ht="28.5" customHeight="1" spans="1:11">
      <c r="A54" s="52"/>
      <c r="B54" s="926" t="s">
        <v>114</v>
      </c>
      <c r="C54" s="927" t="s">
        <v>115</v>
      </c>
      <c r="D54" s="867">
        <v>7866686717</v>
      </c>
      <c r="E54" s="896">
        <v>3.69228902449386</v>
      </c>
      <c r="F54" s="924"/>
      <c r="G54" s="928" t="s">
        <v>84</v>
      </c>
      <c r="H54" s="900" t="s">
        <v>85</v>
      </c>
      <c r="I54" s="896">
        <v>15297130110.17</v>
      </c>
      <c r="J54" s="860">
        <v>1.39064083003833</v>
      </c>
      <c r="K54" s="38"/>
    </row>
    <row r="55" ht="28.5" customHeight="1" spans="1:11">
      <c r="A55" s="52"/>
      <c r="B55" s="926" t="s">
        <v>116</v>
      </c>
      <c r="C55" s="927" t="s">
        <v>117</v>
      </c>
      <c r="D55" s="867">
        <v>3253067313</v>
      </c>
      <c r="E55" s="896">
        <v>1.52685179514943</v>
      </c>
      <c r="F55" s="924"/>
      <c r="G55" s="928" t="s">
        <v>96</v>
      </c>
      <c r="H55" s="900" t="s">
        <v>97</v>
      </c>
      <c r="I55" s="896">
        <v>8087772294.72</v>
      </c>
      <c r="J55" s="860">
        <v>0.735248134525112</v>
      </c>
      <c r="K55" s="38"/>
    </row>
    <row r="56" ht="28.5" customHeight="1" spans="1:11">
      <c r="A56" s="52"/>
      <c r="B56" s="926" t="s">
        <v>118</v>
      </c>
      <c r="C56" s="927" t="s">
        <v>119</v>
      </c>
      <c r="D56" s="867">
        <v>3243925461</v>
      </c>
      <c r="E56" s="896">
        <v>1.52256099763614</v>
      </c>
      <c r="F56" s="924"/>
      <c r="G56" s="928" t="s">
        <v>98</v>
      </c>
      <c r="H56" s="900" t="s">
        <v>99</v>
      </c>
      <c r="I56" s="896">
        <v>7984173202</v>
      </c>
      <c r="J56" s="860">
        <v>0.725830085044342</v>
      </c>
      <c r="K56" s="38"/>
    </row>
    <row r="57" ht="28.5" customHeight="1" spans="1:11">
      <c r="A57" s="52"/>
      <c r="B57" s="926" t="s">
        <v>120</v>
      </c>
      <c r="C57" s="927" t="s">
        <v>121</v>
      </c>
      <c r="D57" s="867">
        <v>2244175220</v>
      </c>
      <c r="E57" s="896">
        <v>1.05332064590047</v>
      </c>
      <c r="F57" s="924"/>
      <c r="G57" s="928" t="s">
        <v>88</v>
      </c>
      <c r="H57" s="900" t="s">
        <v>89</v>
      </c>
      <c r="I57" s="896">
        <v>7844253802.93</v>
      </c>
      <c r="J57" s="860">
        <v>0.713110207011023</v>
      </c>
      <c r="K57" s="38"/>
    </row>
    <row r="58" ht="28.5" customHeight="1" spans="1:11">
      <c r="A58" s="52"/>
      <c r="B58" s="926" t="s">
        <v>122</v>
      </c>
      <c r="C58" s="927" t="s">
        <v>123</v>
      </c>
      <c r="D58" s="867">
        <v>1938508218</v>
      </c>
      <c r="E58" s="896">
        <v>0.909853522162647</v>
      </c>
      <c r="F58" s="924"/>
      <c r="G58" s="928" t="s">
        <v>102</v>
      </c>
      <c r="H58" s="900" t="s">
        <v>103</v>
      </c>
      <c r="I58" s="896">
        <v>7785982997.74</v>
      </c>
      <c r="J58" s="860">
        <v>0.70781288912768</v>
      </c>
      <c r="K58" s="38"/>
    </row>
    <row r="59" ht="28.5" customHeight="1" spans="1:11">
      <c r="A59" s="52"/>
      <c r="B59" s="926" t="s">
        <v>124</v>
      </c>
      <c r="C59" s="927" t="s">
        <v>125</v>
      </c>
      <c r="D59" s="867">
        <v>1725460816</v>
      </c>
      <c r="E59" s="896">
        <v>0.809858109557539</v>
      </c>
      <c r="F59" s="924"/>
      <c r="G59" s="928" t="s">
        <v>80</v>
      </c>
      <c r="H59" s="900" t="s">
        <v>81</v>
      </c>
      <c r="I59" s="896">
        <v>5976460950</v>
      </c>
      <c r="J59" s="860">
        <v>0.543311755626251</v>
      </c>
      <c r="K59" s="38"/>
    </row>
    <row r="60" ht="28.5" customHeight="1" spans="1:11">
      <c r="A60" s="52"/>
      <c r="B60" s="926" t="s">
        <v>126</v>
      </c>
      <c r="C60" s="927" t="s">
        <v>127</v>
      </c>
      <c r="D60" s="867">
        <v>1627217714</v>
      </c>
      <c r="E60" s="896">
        <v>0.763746965146139</v>
      </c>
      <c r="F60" s="924"/>
      <c r="G60" s="928" t="s">
        <v>92</v>
      </c>
      <c r="H60" s="900" t="s">
        <v>93</v>
      </c>
      <c r="I60" s="896">
        <v>4382749800</v>
      </c>
      <c r="J60" s="860">
        <v>0.39842969078692</v>
      </c>
      <c r="K60" s="38"/>
    </row>
    <row r="61" ht="28.5" customHeight="1" spans="1:11">
      <c r="A61" s="52"/>
      <c r="B61" s="926" t="s">
        <v>128</v>
      </c>
      <c r="C61" s="927" t="s">
        <v>129</v>
      </c>
      <c r="D61" s="867">
        <v>1575000043</v>
      </c>
      <c r="E61" s="896">
        <v>0.739238205555995</v>
      </c>
      <c r="F61" s="924"/>
      <c r="G61" s="928" t="s">
        <v>130</v>
      </c>
      <c r="H61" s="900" t="s">
        <v>131</v>
      </c>
      <c r="I61" s="896">
        <v>3765392617.14</v>
      </c>
      <c r="J61" s="860">
        <v>0.34230660763214</v>
      </c>
      <c r="K61" s="38"/>
    </row>
    <row r="62" ht="28.5" customHeight="1" spans="1:11">
      <c r="A62" s="52"/>
      <c r="B62" s="929" t="s">
        <v>132</v>
      </c>
      <c r="C62" s="930" t="s">
        <v>133</v>
      </c>
      <c r="D62" s="872">
        <v>1567194485</v>
      </c>
      <c r="E62" s="903">
        <v>0.735574607758059</v>
      </c>
      <c r="F62" s="931"/>
      <c r="G62" s="932" t="s">
        <v>106</v>
      </c>
      <c r="H62" s="933" t="s">
        <v>107</v>
      </c>
      <c r="I62" s="903">
        <v>3716967250</v>
      </c>
      <c r="J62" s="947">
        <v>0.337904324833375</v>
      </c>
      <c r="K62" s="38"/>
    </row>
    <row r="63" spans="2:7">
      <c r="B63" s="681"/>
      <c r="C63" s="908"/>
      <c r="D63" s="57"/>
      <c r="E63" s="57"/>
      <c r="F63" s="57"/>
      <c r="G63" s="752"/>
    </row>
    <row r="64" spans="3:7">
      <c r="C64" s="44"/>
      <c r="D64"/>
      <c r="E64"/>
      <c r="F64"/>
      <c r="G64" s="752"/>
    </row>
    <row r="65" spans="3:7">
      <c r="C65" s="44"/>
      <c r="D65"/>
      <c r="E65"/>
      <c r="F65"/>
      <c r="G65" s="752"/>
    </row>
    <row r="66" ht="23.55" spans="2:10">
      <c r="B66" s="909" t="s">
        <v>134</v>
      </c>
      <c r="C66" s="910"/>
      <c r="D66" s="910"/>
      <c r="E66" s="910"/>
      <c r="F66" s="910"/>
      <c r="G66" s="910"/>
      <c r="H66" s="910"/>
      <c r="I66" s="944"/>
      <c r="J66" s="939"/>
    </row>
    <row r="67" ht="24.3" spans="2:10">
      <c r="B67" s="911"/>
      <c r="C67" s="912"/>
      <c r="D67" s="912"/>
      <c r="E67" s="912"/>
      <c r="F67" s="912"/>
      <c r="G67" s="912"/>
      <c r="H67" s="912"/>
      <c r="I67" s="945"/>
      <c r="J67" s="940"/>
    </row>
    <row r="68" ht="18.15" spans="2:10">
      <c r="B68" s="913" t="s">
        <v>109</v>
      </c>
      <c r="C68" s="914"/>
      <c r="D68" s="915"/>
      <c r="E68" s="889" t="s">
        <v>135</v>
      </c>
      <c r="F68" s="916"/>
      <c r="G68" s="915" t="s">
        <v>3</v>
      </c>
      <c r="H68" s="917"/>
      <c r="I68" s="913"/>
      <c r="J68" s="946" t="s">
        <v>136</v>
      </c>
    </row>
    <row r="69" ht="18.9" spans="1:11">
      <c r="A69" s="52"/>
      <c r="B69" s="918" t="s">
        <v>5</v>
      </c>
      <c r="C69" s="918" t="s">
        <v>6</v>
      </c>
      <c r="D69" s="918" t="s">
        <v>7</v>
      </c>
      <c r="E69" s="889"/>
      <c r="F69" s="919"/>
      <c r="G69" s="920" t="s">
        <v>5</v>
      </c>
      <c r="H69" s="921" t="s">
        <v>6</v>
      </c>
      <c r="I69" s="886" t="s">
        <v>7</v>
      </c>
      <c r="J69" s="946"/>
      <c r="K69" s="851"/>
    </row>
    <row r="70" ht="17.4" spans="2:10">
      <c r="B70" s="922" t="s">
        <v>12</v>
      </c>
      <c r="C70" s="923" t="s">
        <v>13</v>
      </c>
      <c r="D70" s="860">
        <v>89179185720</v>
      </c>
      <c r="E70" s="860">
        <v>44.5089848993953</v>
      </c>
      <c r="F70" s="924"/>
      <c r="G70" s="925" t="s">
        <v>10</v>
      </c>
      <c r="H70" s="862" t="s">
        <v>11</v>
      </c>
      <c r="I70" s="860">
        <v>782440043260.59</v>
      </c>
      <c r="J70" s="860">
        <v>73.2740962556265</v>
      </c>
    </row>
    <row r="71" ht="17.4" spans="2:10">
      <c r="B71" s="926" t="s">
        <v>8</v>
      </c>
      <c r="C71" s="927" t="s">
        <v>9</v>
      </c>
      <c r="D71" s="896">
        <v>23150207548</v>
      </c>
      <c r="E71" s="896">
        <v>11.554178588342</v>
      </c>
      <c r="F71" s="924"/>
      <c r="G71" s="928" t="s">
        <v>64</v>
      </c>
      <c r="H71" s="900" t="s">
        <v>65</v>
      </c>
      <c r="I71" s="896">
        <v>66317051323.04</v>
      </c>
      <c r="J71" s="896">
        <v>6.21047202771468</v>
      </c>
    </row>
    <row r="72" ht="17.4" spans="2:10">
      <c r="B72" s="926" t="s">
        <v>86</v>
      </c>
      <c r="C72" s="927" t="s">
        <v>87</v>
      </c>
      <c r="D72" s="896">
        <v>20580608306</v>
      </c>
      <c r="E72" s="896">
        <v>10.2717015962469</v>
      </c>
      <c r="F72" s="924"/>
      <c r="G72" s="928" t="s">
        <v>72</v>
      </c>
      <c r="H72" s="897" t="s">
        <v>73</v>
      </c>
      <c r="I72" s="896">
        <v>49152418049.755</v>
      </c>
      <c r="J72" s="896">
        <v>4.603035136553</v>
      </c>
    </row>
    <row r="73" ht="17.4" spans="2:10">
      <c r="B73" s="926" t="s">
        <v>90</v>
      </c>
      <c r="C73" s="927" t="s">
        <v>91</v>
      </c>
      <c r="D73" s="896">
        <v>17514003090</v>
      </c>
      <c r="E73" s="896">
        <v>8.74117085469137</v>
      </c>
      <c r="F73" s="924"/>
      <c r="G73" s="928" t="s">
        <v>48</v>
      </c>
      <c r="H73" s="900" t="s">
        <v>49</v>
      </c>
      <c r="I73" s="896">
        <v>27562910788.43</v>
      </c>
      <c r="J73" s="896">
        <v>2.5812167917434</v>
      </c>
    </row>
    <row r="74" ht="17.4" spans="2:10">
      <c r="B74" s="926" t="s">
        <v>64</v>
      </c>
      <c r="C74" s="927" t="s">
        <v>65</v>
      </c>
      <c r="D74" s="896">
        <v>15041907147</v>
      </c>
      <c r="E74" s="896">
        <v>7.50735738007285</v>
      </c>
      <c r="F74" s="924"/>
      <c r="G74" s="928" t="s">
        <v>20</v>
      </c>
      <c r="H74" s="900" t="s">
        <v>21</v>
      </c>
      <c r="I74" s="896">
        <v>24257933420.63</v>
      </c>
      <c r="J74" s="896">
        <v>2.27171163303287</v>
      </c>
    </row>
    <row r="75" ht="17.4" spans="2:10">
      <c r="B75" s="926" t="s">
        <v>112</v>
      </c>
      <c r="C75" s="927" t="s">
        <v>113</v>
      </c>
      <c r="D75" s="896">
        <v>7941709114</v>
      </c>
      <c r="E75" s="896">
        <v>3.96367614456859</v>
      </c>
      <c r="F75" s="924"/>
      <c r="G75" s="928" t="s">
        <v>52</v>
      </c>
      <c r="H75" s="900" t="s">
        <v>53</v>
      </c>
      <c r="I75" s="896">
        <v>21660535733.32</v>
      </c>
      <c r="J75" s="896">
        <v>2.02847003287015</v>
      </c>
    </row>
    <row r="76" ht="17.4" spans="2:10">
      <c r="B76" s="926" t="s">
        <v>114</v>
      </c>
      <c r="C76" s="927" t="s">
        <v>115</v>
      </c>
      <c r="D76" s="896">
        <v>7866686717</v>
      </c>
      <c r="E76" s="896">
        <v>3.92623275788335</v>
      </c>
      <c r="F76" s="924"/>
      <c r="G76" s="928" t="s">
        <v>96</v>
      </c>
      <c r="H76" s="900" t="s">
        <v>97</v>
      </c>
      <c r="I76" s="896">
        <v>8087772294.72</v>
      </c>
      <c r="J76" s="896">
        <v>0.757405261555013</v>
      </c>
    </row>
    <row r="77" ht="17.4" spans="2:10">
      <c r="B77" s="926" t="s">
        <v>118</v>
      </c>
      <c r="C77" s="927" t="s">
        <v>119</v>
      </c>
      <c r="D77" s="896">
        <v>3243925461</v>
      </c>
      <c r="E77" s="896">
        <v>1.61903058648395</v>
      </c>
      <c r="F77" s="924"/>
      <c r="G77" s="928" t="s">
        <v>98</v>
      </c>
      <c r="H77" s="900" t="s">
        <v>99</v>
      </c>
      <c r="I77" s="896">
        <v>7984173202</v>
      </c>
      <c r="J77" s="896">
        <v>0.747703393715623</v>
      </c>
    </row>
    <row r="78" ht="17.4" spans="2:10">
      <c r="B78" s="948">
        <v>4107990000</v>
      </c>
      <c r="C78" s="927" t="s">
        <v>125</v>
      </c>
      <c r="D78" s="896">
        <v>1725460816</v>
      </c>
      <c r="E78" s="896">
        <v>0.861170785355342</v>
      </c>
      <c r="F78" s="924"/>
      <c r="G78" s="928" t="s">
        <v>84</v>
      </c>
      <c r="H78" s="900" t="s">
        <v>85</v>
      </c>
      <c r="I78" s="896">
        <v>7952729192.82</v>
      </c>
      <c r="J78" s="896">
        <v>0.744758719072289</v>
      </c>
    </row>
    <row r="79" ht="17.4" spans="2:10">
      <c r="B79" s="926" t="s">
        <v>126</v>
      </c>
      <c r="C79" s="927" t="s">
        <v>127</v>
      </c>
      <c r="D79" s="896">
        <v>1627217714</v>
      </c>
      <c r="E79" s="896">
        <v>0.812138035077526</v>
      </c>
      <c r="F79" s="924"/>
      <c r="G79" s="928" t="s">
        <v>88</v>
      </c>
      <c r="H79" s="900" t="s">
        <v>89</v>
      </c>
      <c r="I79" s="896">
        <v>7844253802.93</v>
      </c>
      <c r="J79" s="896">
        <v>0.73460019481394</v>
      </c>
    </row>
    <row r="80" ht="17.4" spans="2:10">
      <c r="B80" s="926" t="s">
        <v>128</v>
      </c>
      <c r="C80" s="927" t="s">
        <v>129</v>
      </c>
      <c r="D80" s="896">
        <v>1575000043</v>
      </c>
      <c r="E80" s="896">
        <v>0.78607639848311</v>
      </c>
      <c r="F80" s="924"/>
      <c r="G80" s="928" t="s">
        <v>102</v>
      </c>
      <c r="H80" s="900" t="s">
        <v>103</v>
      </c>
      <c r="I80" s="896">
        <v>7785982997.74</v>
      </c>
      <c r="J80" s="896">
        <v>0.729143239197773</v>
      </c>
    </row>
    <row r="81" ht="17.4" spans="2:10">
      <c r="B81" s="926" t="s">
        <v>132</v>
      </c>
      <c r="C81" s="927" t="s">
        <v>133</v>
      </c>
      <c r="D81" s="896">
        <v>1567194485</v>
      </c>
      <c r="E81" s="896">
        <v>0.782180674830237</v>
      </c>
      <c r="F81" s="924"/>
      <c r="G81" s="928" t="s">
        <v>80</v>
      </c>
      <c r="H81" s="900" t="s">
        <v>81</v>
      </c>
      <c r="I81" s="896">
        <v>4621666950</v>
      </c>
      <c r="J81" s="896">
        <v>0.432810758949056</v>
      </c>
    </row>
    <row r="82" ht="17.4" spans="2:10">
      <c r="B82" s="926" t="s">
        <v>137</v>
      </c>
      <c r="C82" s="927" t="s">
        <v>138</v>
      </c>
      <c r="D82" s="896">
        <v>1121396959</v>
      </c>
      <c r="E82" s="896">
        <v>0.55968486268837</v>
      </c>
      <c r="F82" s="924"/>
      <c r="G82" s="928" t="s">
        <v>92</v>
      </c>
      <c r="H82" s="900" t="s">
        <v>93</v>
      </c>
      <c r="I82" s="896">
        <v>4382749800</v>
      </c>
      <c r="J82" s="896">
        <v>0.410436599552424</v>
      </c>
    </row>
    <row r="83" ht="17.4" spans="2:10">
      <c r="B83" s="926" t="s">
        <v>139</v>
      </c>
      <c r="C83" s="927" t="s">
        <v>140</v>
      </c>
      <c r="D83" s="896">
        <v>921598750</v>
      </c>
      <c r="E83" s="896">
        <v>0.459966353313005</v>
      </c>
      <c r="F83" s="924"/>
      <c r="G83" s="928" t="s">
        <v>130</v>
      </c>
      <c r="H83" s="900" t="s">
        <v>131</v>
      </c>
      <c r="I83" s="896">
        <v>3765392617.14</v>
      </c>
      <c r="J83" s="896">
        <v>0.352622214884076</v>
      </c>
    </row>
    <row r="84" ht="18.15" spans="2:10">
      <c r="B84" s="929" t="s">
        <v>141</v>
      </c>
      <c r="C84" s="927" t="s">
        <v>142</v>
      </c>
      <c r="D84" s="903">
        <v>771410970</v>
      </c>
      <c r="E84" s="903">
        <v>0.385008216185783</v>
      </c>
      <c r="F84" s="931"/>
      <c r="G84" s="932" t="s">
        <v>143</v>
      </c>
      <c r="H84" s="933" t="s">
        <v>144</v>
      </c>
      <c r="I84" s="903">
        <v>3146859966.56</v>
      </c>
      <c r="J84" s="903">
        <v>0.294697749787711</v>
      </c>
    </row>
  </sheetData>
  <mergeCells count="22">
    <mergeCell ref="B3:D3"/>
    <mergeCell ref="G3:I3"/>
    <mergeCell ref="B24:D24"/>
    <mergeCell ref="G24:I24"/>
    <mergeCell ref="B46:D46"/>
    <mergeCell ref="G46:I46"/>
    <mergeCell ref="B68:D68"/>
    <mergeCell ref="G68:I68"/>
    <mergeCell ref="E3:E4"/>
    <mergeCell ref="E24:E25"/>
    <mergeCell ref="E46:E47"/>
    <mergeCell ref="E68:E69"/>
    <mergeCell ref="F3:F4"/>
    <mergeCell ref="F24:F25"/>
    <mergeCell ref="J3:J4"/>
    <mergeCell ref="J24:J25"/>
    <mergeCell ref="J46:J47"/>
    <mergeCell ref="J68:J69"/>
    <mergeCell ref="B66:I67"/>
    <mergeCell ref="B1:J2"/>
    <mergeCell ref="B44:I45"/>
    <mergeCell ref="B22:J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zoomScale="74" zoomScaleNormal="74" topLeftCell="G1" workbookViewId="0">
      <selection activeCell="O1" sqref="O$1:O$1048576"/>
    </sheetView>
  </sheetViews>
  <sheetFormatPr defaultColWidth="9" defaultRowHeight="14.4"/>
  <cols>
    <col min="1" max="1" width="24" customWidth="1"/>
    <col min="3" max="3" width="8.09259259259259" customWidth="1"/>
    <col min="4" max="4" width="17.1759259259259" customWidth="1"/>
    <col min="5" max="5" width="23.8148148148148" customWidth="1"/>
    <col min="6" max="7" width="21.7222222222222" customWidth="1"/>
    <col min="8" max="8" width="9.72222222222222" customWidth="1"/>
    <col min="9" max="9" width="9.26851851851852" customWidth="1"/>
    <col min="10" max="10" width="9.4537037037037" customWidth="1"/>
    <col min="11" max="11" width="7.17592592592593" customWidth="1"/>
    <col min="12" max="12" width="18.8148148148148" customWidth="1"/>
    <col min="13" max="13" width="22" customWidth="1"/>
    <col min="14" max="14" width="14" customWidth="1"/>
    <col min="15" max="15" width="22.2685185185185" customWidth="1"/>
    <col min="16" max="16" width="19" customWidth="1"/>
    <col min="17" max="17" width="18.1759259259259" customWidth="1"/>
  </cols>
  <sheetData>
    <row r="1" ht="15.15"/>
    <row r="2" ht="18.9" spans="2:14">
      <c r="B2" s="777" t="s">
        <v>145</v>
      </c>
      <c r="C2" s="777"/>
      <c r="D2" s="777"/>
      <c r="E2" s="777"/>
      <c r="F2" s="777"/>
      <c r="G2" s="777"/>
      <c r="H2" s="777"/>
      <c r="I2" s="777"/>
      <c r="J2" s="810"/>
      <c r="K2" s="810"/>
      <c r="L2" s="810"/>
      <c r="M2" s="810"/>
      <c r="N2" s="810"/>
    </row>
    <row r="3" ht="17.1" spans="1:15">
      <c r="A3" s="53"/>
      <c r="B3" s="778" t="s">
        <v>3</v>
      </c>
      <c r="C3" s="779"/>
      <c r="D3" s="779"/>
      <c r="E3" s="779"/>
      <c r="F3" s="780"/>
      <c r="G3" s="780"/>
      <c r="H3" s="781"/>
      <c r="I3" s="811"/>
      <c r="J3" s="812" t="s">
        <v>1</v>
      </c>
      <c r="K3" s="813"/>
      <c r="L3" s="813"/>
      <c r="M3" s="813"/>
      <c r="N3" s="813"/>
      <c r="O3" s="52"/>
    </row>
    <row r="4" ht="162" customHeight="1" spans="2:14">
      <c r="B4" s="782" t="s">
        <v>146</v>
      </c>
      <c r="C4" s="783" t="s">
        <v>147</v>
      </c>
      <c r="D4" s="784" t="s">
        <v>148</v>
      </c>
      <c r="E4" s="784" t="s">
        <v>149</v>
      </c>
      <c r="F4" s="784" t="s">
        <v>150</v>
      </c>
      <c r="G4" s="784" t="s">
        <v>151</v>
      </c>
      <c r="H4" s="785" t="s">
        <v>152</v>
      </c>
      <c r="I4" s="811"/>
      <c r="J4" s="814" t="s">
        <v>146</v>
      </c>
      <c r="K4" s="815" t="s">
        <v>147</v>
      </c>
      <c r="L4" s="816" t="s">
        <v>153</v>
      </c>
      <c r="M4" s="816" t="s">
        <v>149</v>
      </c>
      <c r="N4" s="817" t="s">
        <v>154</v>
      </c>
    </row>
    <row r="5" ht="17.5" customHeight="1" spans="1:17">
      <c r="A5" s="277"/>
      <c r="B5" s="786" t="s">
        <v>155</v>
      </c>
      <c r="C5" s="787" t="s">
        <v>156</v>
      </c>
      <c r="D5" s="518" t="s">
        <v>157</v>
      </c>
      <c r="E5" s="788">
        <v>2841617314384.45</v>
      </c>
      <c r="F5" s="788">
        <v>1408653610512.37</v>
      </c>
      <c r="G5" s="518">
        <v>1432963703872.08</v>
      </c>
      <c r="H5" s="419">
        <v>13.7952762075441</v>
      </c>
      <c r="I5" s="818"/>
      <c r="J5" s="786" t="s">
        <v>155</v>
      </c>
      <c r="K5" s="787" t="s">
        <v>158</v>
      </c>
      <c r="L5" s="819" t="s">
        <v>159</v>
      </c>
      <c r="M5" s="788">
        <v>4657928934345</v>
      </c>
      <c r="N5" s="419">
        <v>30.1949706348398</v>
      </c>
      <c r="O5" s="820"/>
      <c r="P5" s="53"/>
      <c r="Q5" s="53"/>
    </row>
    <row r="6" ht="17.5" customHeight="1" spans="1:17">
      <c r="A6" s="53"/>
      <c r="B6" s="789" t="s">
        <v>160</v>
      </c>
      <c r="C6" s="790" t="s">
        <v>161</v>
      </c>
      <c r="D6" s="512" t="s">
        <v>162</v>
      </c>
      <c r="E6" s="791">
        <v>2258412503253.73</v>
      </c>
      <c r="F6" s="788">
        <v>1364328078993.42</v>
      </c>
      <c r="G6" s="518">
        <v>894084424260.31</v>
      </c>
      <c r="H6" s="419">
        <v>10.9639760833542</v>
      </c>
      <c r="I6" s="818"/>
      <c r="J6" s="789" t="s">
        <v>160</v>
      </c>
      <c r="K6" s="790" t="s">
        <v>156</v>
      </c>
      <c r="L6" s="70" t="s">
        <v>157</v>
      </c>
      <c r="M6" s="791">
        <v>1716328189949.15</v>
      </c>
      <c r="N6" s="419">
        <v>11.1260777108764</v>
      </c>
      <c r="O6" s="52"/>
      <c r="P6" s="53"/>
      <c r="Q6" s="53"/>
    </row>
    <row r="7" ht="17.5" customHeight="1" spans="1:17">
      <c r="A7" s="53"/>
      <c r="B7" s="789" t="s">
        <v>163</v>
      </c>
      <c r="C7" s="790" t="s">
        <v>164</v>
      </c>
      <c r="D7" s="512" t="s">
        <v>165</v>
      </c>
      <c r="E7" s="791">
        <v>1543573199076.94</v>
      </c>
      <c r="F7" s="788">
        <v>779384822198.5</v>
      </c>
      <c r="G7" s="518">
        <v>764188376878.44</v>
      </c>
      <c r="H7" s="419">
        <v>7.49362643591632</v>
      </c>
      <c r="I7" s="818"/>
      <c r="J7" s="789" t="s">
        <v>163</v>
      </c>
      <c r="K7" s="790" t="s">
        <v>164</v>
      </c>
      <c r="L7" s="70" t="s">
        <v>165</v>
      </c>
      <c r="M7" s="791">
        <v>1421573515824.92</v>
      </c>
      <c r="N7" s="419">
        <v>9.21533393287709</v>
      </c>
      <c r="O7" s="52"/>
      <c r="P7" s="53"/>
      <c r="Q7" s="53"/>
    </row>
    <row r="8" ht="17.5" customHeight="1" spans="1:17">
      <c r="A8" s="53"/>
      <c r="B8" s="789" t="s">
        <v>166</v>
      </c>
      <c r="C8" s="790" t="s">
        <v>167</v>
      </c>
      <c r="D8" s="512" t="s">
        <v>168</v>
      </c>
      <c r="E8" s="791">
        <v>1443227941989.75</v>
      </c>
      <c r="F8" s="788">
        <v>1280905381766.97</v>
      </c>
      <c r="G8" s="518">
        <v>162322560222.78</v>
      </c>
      <c r="H8" s="419">
        <v>7.00647761027135</v>
      </c>
      <c r="I8" s="818"/>
      <c r="J8" s="789" t="s">
        <v>166</v>
      </c>
      <c r="K8" s="790" t="s">
        <v>161</v>
      </c>
      <c r="L8" s="70" t="s">
        <v>162</v>
      </c>
      <c r="M8" s="791">
        <v>809827073361.95</v>
      </c>
      <c r="N8" s="419">
        <v>5.24969466991254</v>
      </c>
      <c r="O8" s="52"/>
      <c r="P8" s="53"/>
      <c r="Q8" s="53"/>
    </row>
    <row r="9" ht="17.5" customHeight="1" spans="1:17">
      <c r="A9" s="53"/>
      <c r="B9" s="789" t="s">
        <v>169</v>
      </c>
      <c r="C9" s="790" t="s">
        <v>170</v>
      </c>
      <c r="D9" s="512" t="s">
        <v>171</v>
      </c>
      <c r="E9" s="791">
        <v>1440016631082.86</v>
      </c>
      <c r="F9" s="788">
        <v>989537962910.87</v>
      </c>
      <c r="G9" s="518">
        <v>450478668171.99</v>
      </c>
      <c r="H9" s="419">
        <v>6.99088757261054</v>
      </c>
      <c r="I9" s="818"/>
      <c r="J9" s="789" t="s">
        <v>169</v>
      </c>
      <c r="K9" s="790" t="s">
        <v>172</v>
      </c>
      <c r="L9" s="70" t="s">
        <v>173</v>
      </c>
      <c r="M9" s="791">
        <v>617175509963.55</v>
      </c>
      <c r="N9" s="419">
        <v>4.00083313046772</v>
      </c>
      <c r="O9" s="52"/>
      <c r="P9" s="53"/>
      <c r="Q9" s="53"/>
    </row>
    <row r="10" ht="17.5" customHeight="1" spans="1:17">
      <c r="A10" s="53"/>
      <c r="B10" s="789" t="s">
        <v>174</v>
      </c>
      <c r="C10" s="790" t="s">
        <v>175</v>
      </c>
      <c r="D10" s="512" t="s">
        <v>176</v>
      </c>
      <c r="E10" s="791">
        <v>1243157797537.05</v>
      </c>
      <c r="F10" s="788">
        <v>1107548456141.19</v>
      </c>
      <c r="G10" s="518">
        <v>135609341395.86</v>
      </c>
      <c r="H10" s="419">
        <v>6.03519168459908</v>
      </c>
      <c r="I10" s="818"/>
      <c r="J10" s="789" t="s">
        <v>174</v>
      </c>
      <c r="K10" s="790" t="s">
        <v>177</v>
      </c>
      <c r="L10" s="70" t="s">
        <v>178</v>
      </c>
      <c r="M10" s="791">
        <v>562160098911.3</v>
      </c>
      <c r="N10" s="419">
        <v>3.64419636236728</v>
      </c>
      <c r="O10" s="52"/>
      <c r="P10" s="53"/>
      <c r="Q10" s="53"/>
    </row>
    <row r="11" ht="17.5" customHeight="1" spans="1:17">
      <c r="A11" s="53"/>
      <c r="B11" s="789" t="s">
        <v>179</v>
      </c>
      <c r="C11" s="790" t="s">
        <v>180</v>
      </c>
      <c r="D11" s="512" t="s">
        <v>181</v>
      </c>
      <c r="E11" s="791">
        <v>1193142961182.81</v>
      </c>
      <c r="F11" s="788">
        <v>1146286504129.35</v>
      </c>
      <c r="G11" s="518">
        <v>46856457053.46</v>
      </c>
      <c r="H11" s="419">
        <v>5.79238330977352</v>
      </c>
      <c r="I11" s="818"/>
      <c r="J11" s="789" t="s">
        <v>179</v>
      </c>
      <c r="K11" s="790" t="s">
        <v>182</v>
      </c>
      <c r="L11" s="70" t="s">
        <v>183</v>
      </c>
      <c r="M11" s="791">
        <v>515118849004.27</v>
      </c>
      <c r="N11" s="419">
        <v>3.33925200198951</v>
      </c>
      <c r="O11" s="52"/>
      <c r="P11" s="53"/>
      <c r="Q11" s="53"/>
    </row>
    <row r="12" ht="17.5" customHeight="1" spans="1:17">
      <c r="A12" s="53"/>
      <c r="B12" s="789" t="s">
        <v>184</v>
      </c>
      <c r="C12" s="790" t="s">
        <v>185</v>
      </c>
      <c r="D12" s="512" t="s">
        <v>186</v>
      </c>
      <c r="E12" s="791">
        <v>813435572449.94</v>
      </c>
      <c r="F12" s="788">
        <v>796974425956.73</v>
      </c>
      <c r="G12" s="518">
        <v>16461146493.21</v>
      </c>
      <c r="H12" s="419">
        <v>3.94900760992143</v>
      </c>
      <c r="I12" s="818"/>
      <c r="J12" s="789" t="s">
        <v>184</v>
      </c>
      <c r="K12" s="790" t="s">
        <v>187</v>
      </c>
      <c r="L12" s="70" t="s">
        <v>188</v>
      </c>
      <c r="M12" s="791">
        <v>415254217638.38</v>
      </c>
      <c r="N12" s="419">
        <v>2.69188068008759</v>
      </c>
      <c r="O12" s="52"/>
      <c r="P12" s="53"/>
      <c r="Q12" s="53"/>
    </row>
    <row r="13" ht="17.5" customHeight="1" spans="1:17">
      <c r="A13" s="53"/>
      <c r="B13" s="789" t="s">
        <v>189</v>
      </c>
      <c r="C13" s="790" t="s">
        <v>190</v>
      </c>
      <c r="D13" s="512" t="s">
        <v>191</v>
      </c>
      <c r="E13" s="791">
        <v>708686700610.06</v>
      </c>
      <c r="F13" s="788">
        <v>704726436004.94</v>
      </c>
      <c r="G13" s="518">
        <v>3960264605.12012</v>
      </c>
      <c r="H13" s="419">
        <v>3.44048043698195</v>
      </c>
      <c r="I13" s="818"/>
      <c r="J13" s="789" t="s">
        <v>189</v>
      </c>
      <c r="K13" s="790" t="s">
        <v>170</v>
      </c>
      <c r="L13" s="70" t="s">
        <v>171</v>
      </c>
      <c r="M13" s="791">
        <v>381208829896.11</v>
      </c>
      <c r="N13" s="419">
        <v>2.47118184641718</v>
      </c>
      <c r="O13" s="52"/>
      <c r="P13" s="53"/>
      <c r="Q13" s="53"/>
    </row>
    <row r="14" ht="17.5" customHeight="1" spans="1:17">
      <c r="A14" s="53"/>
      <c r="B14" s="792" t="s">
        <v>192</v>
      </c>
      <c r="C14" s="793" t="s">
        <v>193</v>
      </c>
      <c r="D14" s="794" t="s">
        <v>194</v>
      </c>
      <c r="E14" s="795">
        <v>550297711729.96</v>
      </c>
      <c r="F14" s="788">
        <v>458980763697.69</v>
      </c>
      <c r="G14" s="518">
        <v>91316948032.27</v>
      </c>
      <c r="H14" s="419">
        <v>2.67154514130582</v>
      </c>
      <c r="I14" s="821"/>
      <c r="J14" s="792" t="s">
        <v>192</v>
      </c>
      <c r="K14" s="793" t="s">
        <v>195</v>
      </c>
      <c r="L14" s="822" t="s">
        <v>196</v>
      </c>
      <c r="M14" s="795">
        <v>283889185330.41</v>
      </c>
      <c r="N14" s="419">
        <v>1.84030837211683</v>
      </c>
      <c r="O14" s="52"/>
      <c r="P14" s="53"/>
      <c r="Q14" s="53"/>
    </row>
    <row r="15" spans="1:15">
      <c r="A15" s="53"/>
      <c r="E15" s="53"/>
      <c r="G15" s="53"/>
      <c r="M15" s="53"/>
      <c r="O15" s="52"/>
    </row>
    <row r="16" spans="12:12">
      <c r="L16" s="823"/>
    </row>
    <row r="18" ht="15.15"/>
    <row r="19" ht="18.9" spans="2:14">
      <c r="B19" s="777" t="s">
        <v>197</v>
      </c>
      <c r="C19" s="777"/>
      <c r="D19" s="777"/>
      <c r="E19" s="777"/>
      <c r="F19" s="777"/>
      <c r="G19" s="777"/>
      <c r="H19" s="777"/>
      <c r="I19" s="777"/>
      <c r="J19" s="810"/>
      <c r="K19" s="810"/>
      <c r="L19" s="810"/>
      <c r="M19" s="810"/>
      <c r="N19" s="810"/>
    </row>
    <row r="20" ht="17.1" spans="2:14">
      <c r="B20" s="778" t="s">
        <v>3</v>
      </c>
      <c r="C20" s="779"/>
      <c r="D20" s="779"/>
      <c r="E20" s="779"/>
      <c r="F20" s="780"/>
      <c r="G20" s="780"/>
      <c r="H20" s="781"/>
      <c r="I20" s="824"/>
      <c r="J20" s="812" t="s">
        <v>1</v>
      </c>
      <c r="K20" s="813"/>
      <c r="L20" s="813"/>
      <c r="M20" s="813"/>
      <c r="N20" s="813"/>
    </row>
    <row r="21" ht="162" customHeight="1" spans="2:15">
      <c r="B21" s="782" t="s">
        <v>146</v>
      </c>
      <c r="C21" s="783" t="s">
        <v>147</v>
      </c>
      <c r="D21" s="784" t="s">
        <v>148</v>
      </c>
      <c r="E21" s="784" t="s">
        <v>149</v>
      </c>
      <c r="F21" s="784" t="s">
        <v>198</v>
      </c>
      <c r="G21" s="784" t="s">
        <v>199</v>
      </c>
      <c r="H21" s="785" t="s">
        <v>200</v>
      </c>
      <c r="I21" s="811"/>
      <c r="J21" s="814" t="s">
        <v>146</v>
      </c>
      <c r="K21" s="815" t="s">
        <v>147</v>
      </c>
      <c r="L21" s="816" t="s">
        <v>153</v>
      </c>
      <c r="M21" s="816" t="s">
        <v>149</v>
      </c>
      <c r="N21" s="817" t="s">
        <v>201</v>
      </c>
      <c r="O21" s="52"/>
    </row>
    <row r="22" ht="17.5" customHeight="1" spans="1:15">
      <c r="A22" s="796"/>
      <c r="B22" s="786" t="s">
        <v>155</v>
      </c>
      <c r="C22" s="787" t="s">
        <v>190</v>
      </c>
      <c r="D22" s="518" t="s">
        <v>191</v>
      </c>
      <c r="E22" s="788">
        <v>708686700610.06</v>
      </c>
      <c r="F22" s="574">
        <v>704726436004.94</v>
      </c>
      <c r="G22" s="518">
        <v>3960264605.12012</v>
      </c>
      <c r="H22" s="419">
        <v>38.2399134147679</v>
      </c>
      <c r="I22" s="818"/>
      <c r="J22" s="786" t="s">
        <v>155</v>
      </c>
      <c r="K22" s="787" t="s">
        <v>202</v>
      </c>
      <c r="L22" s="518" t="s">
        <v>203</v>
      </c>
      <c r="M22" s="518">
        <v>224393748159.33</v>
      </c>
      <c r="N22" s="419">
        <v>29.2628715273226</v>
      </c>
      <c r="O22" s="52"/>
    </row>
    <row r="23" ht="17.5" customHeight="1" spans="1:15">
      <c r="A23" s="53"/>
      <c r="B23" s="789" t="s">
        <v>160</v>
      </c>
      <c r="C23" s="790" t="s">
        <v>204</v>
      </c>
      <c r="D23" s="797" t="s">
        <v>205</v>
      </c>
      <c r="E23" s="791">
        <v>428564941405.76</v>
      </c>
      <c r="F23" s="574">
        <v>403997656708.08</v>
      </c>
      <c r="G23" s="518">
        <v>24567284697.68</v>
      </c>
      <c r="H23" s="419">
        <v>23.1248677841051</v>
      </c>
      <c r="I23" s="818"/>
      <c r="J23" s="789" t="s">
        <v>160</v>
      </c>
      <c r="K23" s="790" t="s">
        <v>206</v>
      </c>
      <c r="L23" s="512" t="s">
        <v>207</v>
      </c>
      <c r="M23" s="512">
        <v>132312733963</v>
      </c>
      <c r="N23" s="419">
        <v>17.2547166182139</v>
      </c>
      <c r="O23" s="52"/>
    </row>
    <row r="24" ht="17.5" customHeight="1" spans="1:15">
      <c r="A24" s="53"/>
      <c r="B24" s="789" t="s">
        <v>163</v>
      </c>
      <c r="C24" s="790" t="s">
        <v>208</v>
      </c>
      <c r="D24" s="512" t="s">
        <v>209</v>
      </c>
      <c r="E24" s="791">
        <v>346256222700.46</v>
      </c>
      <c r="F24" s="574">
        <v>327894141552.03</v>
      </c>
      <c r="G24" s="518">
        <v>18362081148.43</v>
      </c>
      <c r="H24" s="419">
        <v>18.6835846700553</v>
      </c>
      <c r="I24" s="818"/>
      <c r="J24" s="789" t="s">
        <v>163</v>
      </c>
      <c r="K24" s="790" t="s">
        <v>190</v>
      </c>
      <c r="L24" s="512" t="s">
        <v>191</v>
      </c>
      <c r="M24" s="512">
        <v>125379478000</v>
      </c>
      <c r="N24" s="419">
        <v>16.3505605079142</v>
      </c>
      <c r="O24" s="52"/>
    </row>
    <row r="25" ht="17.5" customHeight="1" spans="1:15">
      <c r="A25" s="53"/>
      <c r="B25" s="789" t="s">
        <v>166</v>
      </c>
      <c r="C25" s="790" t="s">
        <v>206</v>
      </c>
      <c r="D25" s="512" t="s">
        <v>207</v>
      </c>
      <c r="E25" s="791">
        <v>134797134671.801</v>
      </c>
      <c r="F25" s="574">
        <v>0</v>
      </c>
      <c r="G25" s="518">
        <v>134797134671.801</v>
      </c>
      <c r="H25" s="419">
        <v>7.2734972364674</v>
      </c>
      <c r="I25" s="818"/>
      <c r="J25" s="789" t="s">
        <v>166</v>
      </c>
      <c r="K25" s="790" t="s">
        <v>210</v>
      </c>
      <c r="L25" s="512" t="s">
        <v>211</v>
      </c>
      <c r="M25" s="512">
        <v>124392150638.02</v>
      </c>
      <c r="N25" s="419">
        <v>16.2218045421797</v>
      </c>
      <c r="O25" s="52"/>
    </row>
    <row r="26" ht="17.5" customHeight="1" spans="1:15">
      <c r="A26" s="53"/>
      <c r="B26" s="789" t="s">
        <v>169</v>
      </c>
      <c r="C26" s="790" t="s">
        <v>212</v>
      </c>
      <c r="D26" s="512" t="s">
        <v>213</v>
      </c>
      <c r="E26" s="791">
        <v>122068686772.39</v>
      </c>
      <c r="F26" s="574">
        <v>50548245000.48</v>
      </c>
      <c r="G26" s="518">
        <v>71520441771.91</v>
      </c>
      <c r="H26" s="419">
        <v>6.58668493258352</v>
      </c>
      <c r="I26" s="818"/>
      <c r="J26" s="789" t="s">
        <v>169</v>
      </c>
      <c r="K26" s="790" t="s">
        <v>214</v>
      </c>
      <c r="L26" s="512" t="s">
        <v>215</v>
      </c>
      <c r="M26" s="512">
        <v>90209239241</v>
      </c>
      <c r="N26" s="419">
        <v>11.7640593828511</v>
      </c>
      <c r="O26" s="52"/>
    </row>
    <row r="27" ht="17.5" customHeight="1" spans="1:15">
      <c r="A27" s="53"/>
      <c r="B27" s="789" t="s">
        <v>174</v>
      </c>
      <c r="C27" s="790" t="s">
        <v>216</v>
      </c>
      <c r="D27" s="512" t="s">
        <v>217</v>
      </c>
      <c r="E27" s="798">
        <v>32701610634.434</v>
      </c>
      <c r="F27" s="574">
        <v>0</v>
      </c>
      <c r="G27" s="518">
        <v>32701610634.434</v>
      </c>
      <c r="H27" s="419">
        <v>1.76454102794328</v>
      </c>
      <c r="I27" s="818"/>
      <c r="J27" s="789" t="s">
        <v>174</v>
      </c>
      <c r="K27" s="790" t="s">
        <v>218</v>
      </c>
      <c r="L27" s="512" t="s">
        <v>219</v>
      </c>
      <c r="M27" s="808">
        <v>68427136996</v>
      </c>
      <c r="N27" s="419">
        <v>8.92348621706998</v>
      </c>
      <c r="O27" s="52"/>
    </row>
    <row r="28" ht="17.5" customHeight="1" spans="1:15">
      <c r="A28" s="53"/>
      <c r="B28" s="789" t="s">
        <v>179</v>
      </c>
      <c r="C28" s="790" t="s">
        <v>220</v>
      </c>
      <c r="D28" s="512" t="s">
        <v>221</v>
      </c>
      <c r="E28" s="791">
        <v>25204610371.703</v>
      </c>
      <c r="F28" s="574">
        <v>0</v>
      </c>
      <c r="G28" s="518">
        <v>25204610371.703</v>
      </c>
      <c r="H28" s="419">
        <v>1.36001157837052</v>
      </c>
      <c r="I28" s="818"/>
      <c r="J28" s="789" t="s">
        <v>179</v>
      </c>
      <c r="K28" s="790" t="s">
        <v>222</v>
      </c>
      <c r="L28" s="512" t="s">
        <v>223</v>
      </c>
      <c r="M28" s="512">
        <v>56272156991</v>
      </c>
      <c r="N28" s="419">
        <v>7.33837245511734</v>
      </c>
      <c r="O28" s="52"/>
    </row>
    <row r="29" ht="17.5" customHeight="1" spans="1:15">
      <c r="A29" s="53"/>
      <c r="B29" s="789" t="s">
        <v>184</v>
      </c>
      <c r="C29" s="790" t="s">
        <v>224</v>
      </c>
      <c r="D29" s="512" t="s">
        <v>225</v>
      </c>
      <c r="E29" s="791">
        <v>21118036644.64</v>
      </c>
      <c r="F29" s="574">
        <v>0</v>
      </c>
      <c r="G29" s="518">
        <v>21118036644.64</v>
      </c>
      <c r="H29" s="419">
        <v>1.13950479398832</v>
      </c>
      <c r="I29" s="818"/>
      <c r="J29" s="789" t="s">
        <v>184</v>
      </c>
      <c r="K29" s="790" t="s">
        <v>226</v>
      </c>
      <c r="L29" s="512" t="s">
        <v>227</v>
      </c>
      <c r="M29" s="512">
        <v>34387473761</v>
      </c>
      <c r="N29" s="419">
        <v>4.48442184807581</v>
      </c>
      <c r="O29" s="52"/>
    </row>
    <row r="30" ht="17.5" customHeight="1" spans="1:15">
      <c r="A30" s="53"/>
      <c r="B30" s="789" t="s">
        <v>189</v>
      </c>
      <c r="C30" s="790" t="s">
        <v>226</v>
      </c>
      <c r="D30" s="512" t="s">
        <v>227</v>
      </c>
      <c r="E30" s="791">
        <v>9465969821.76</v>
      </c>
      <c r="F30" s="574">
        <v>0</v>
      </c>
      <c r="G30" s="518">
        <v>9465969821.76</v>
      </c>
      <c r="H30" s="419">
        <v>0.510772766102857</v>
      </c>
      <c r="I30" s="818"/>
      <c r="J30" s="789" t="s">
        <v>189</v>
      </c>
      <c r="K30" s="790" t="s">
        <v>204</v>
      </c>
      <c r="L30" s="512" t="s">
        <v>205</v>
      </c>
      <c r="M30" s="512">
        <v>28556101564</v>
      </c>
      <c r="N30" s="419">
        <v>3.72396084223866</v>
      </c>
      <c r="O30" s="52"/>
    </row>
    <row r="31" ht="17.5" customHeight="1" spans="1:15">
      <c r="A31" s="53"/>
      <c r="B31" s="792" t="s">
        <v>192</v>
      </c>
      <c r="C31" s="793" t="s">
        <v>228</v>
      </c>
      <c r="D31" s="794" t="s">
        <v>229</v>
      </c>
      <c r="E31" s="795">
        <v>6680116668.12</v>
      </c>
      <c r="F31" s="574">
        <v>0</v>
      </c>
      <c r="G31" s="518">
        <v>6680116668.12</v>
      </c>
      <c r="H31" s="419">
        <v>0.360451357094128</v>
      </c>
      <c r="I31" s="821"/>
      <c r="J31" s="792" t="s">
        <v>192</v>
      </c>
      <c r="K31" s="793" t="s">
        <v>230</v>
      </c>
      <c r="L31" s="794" t="s">
        <v>231</v>
      </c>
      <c r="M31" s="794">
        <v>26144930837</v>
      </c>
      <c r="N31" s="419">
        <v>3.40952347580837</v>
      </c>
      <c r="O31" s="52"/>
    </row>
    <row r="32" ht="15.6" spans="1:15">
      <c r="A32" s="53"/>
      <c r="H32" s="799"/>
      <c r="I32" s="799"/>
      <c r="N32" s="825"/>
      <c r="O32" s="52"/>
    </row>
    <row r="36" ht="15.15"/>
    <row r="37" ht="18.9" spans="2:14">
      <c r="B37" s="777" t="s">
        <v>232</v>
      </c>
      <c r="C37" s="777"/>
      <c r="D37" s="777"/>
      <c r="E37" s="777"/>
      <c r="F37" s="777"/>
      <c r="G37" s="777"/>
      <c r="H37" s="777"/>
      <c r="I37" s="777"/>
      <c r="J37" s="777"/>
      <c r="K37" s="777"/>
      <c r="L37" s="777"/>
      <c r="M37" s="777"/>
      <c r="N37" s="777"/>
    </row>
    <row r="38" ht="16.35" spans="2:14">
      <c r="B38" s="778" t="s">
        <v>68</v>
      </c>
      <c r="C38" s="779"/>
      <c r="D38" s="779"/>
      <c r="E38" s="779"/>
      <c r="F38" s="780"/>
      <c r="G38" s="780"/>
      <c r="H38" s="781"/>
      <c r="I38" s="826"/>
      <c r="J38" s="827" t="s">
        <v>109</v>
      </c>
      <c r="K38" s="828"/>
      <c r="L38" s="828"/>
      <c r="M38" s="828"/>
      <c r="N38" s="829"/>
    </row>
    <row r="39" ht="177.2" spans="1:15">
      <c r="A39" s="634"/>
      <c r="B39" s="800" t="s">
        <v>146</v>
      </c>
      <c r="C39" s="801" t="s">
        <v>147</v>
      </c>
      <c r="D39" s="784" t="s">
        <v>148</v>
      </c>
      <c r="E39" s="784" t="s">
        <v>149</v>
      </c>
      <c r="F39" s="802" t="s">
        <v>198</v>
      </c>
      <c r="G39" s="802" t="s">
        <v>199</v>
      </c>
      <c r="H39" s="803" t="s">
        <v>233</v>
      </c>
      <c r="I39" s="830"/>
      <c r="J39" s="831" t="s">
        <v>146</v>
      </c>
      <c r="K39" s="816" t="s">
        <v>147</v>
      </c>
      <c r="L39" s="816" t="s">
        <v>153</v>
      </c>
      <c r="M39" s="816" t="s">
        <v>149</v>
      </c>
      <c r="N39" s="817" t="s">
        <v>234</v>
      </c>
      <c r="O39" s="52"/>
    </row>
    <row r="40" ht="20" customHeight="1" spans="1:17">
      <c r="A40" s="804"/>
      <c r="B40" s="786" t="s">
        <v>155</v>
      </c>
      <c r="C40" s="787" t="s">
        <v>204</v>
      </c>
      <c r="D40" s="805" t="s">
        <v>205</v>
      </c>
      <c r="E40" s="518">
        <v>428564941405.76</v>
      </c>
      <c r="F40" s="806">
        <v>403997656708.08</v>
      </c>
      <c r="G40" s="518">
        <v>24567284697.68</v>
      </c>
      <c r="H40" s="594">
        <v>38.9602429703861</v>
      </c>
      <c r="I40" s="832"/>
      <c r="J40" s="950" t="s">
        <v>155</v>
      </c>
      <c r="K40" s="787" t="s">
        <v>206</v>
      </c>
      <c r="L40" s="574" t="s">
        <v>207</v>
      </c>
      <c r="M40" s="834">
        <v>132312733963</v>
      </c>
      <c r="N40" s="594">
        <v>62.1019843534162</v>
      </c>
      <c r="O40" s="52"/>
      <c r="P40" s="52"/>
      <c r="Q40" s="52"/>
    </row>
    <row r="41" ht="20" customHeight="1" spans="1:17">
      <c r="A41" s="53"/>
      <c r="B41" s="789" t="s">
        <v>160</v>
      </c>
      <c r="C41" s="790" t="s">
        <v>208</v>
      </c>
      <c r="D41" s="807" t="s">
        <v>209</v>
      </c>
      <c r="E41" s="512">
        <v>346256222700.46</v>
      </c>
      <c r="F41" s="806">
        <v>327894141552.03</v>
      </c>
      <c r="G41" s="518">
        <v>18362081148.43</v>
      </c>
      <c r="H41" s="594">
        <v>31.4776717903429</v>
      </c>
      <c r="I41" s="818"/>
      <c r="J41" s="951" t="s">
        <v>160</v>
      </c>
      <c r="K41" s="790" t="s">
        <v>204</v>
      </c>
      <c r="L41" s="797" t="s">
        <v>205</v>
      </c>
      <c r="M41" s="551">
        <v>28556101564</v>
      </c>
      <c r="N41" s="594">
        <v>13.4030226676293</v>
      </c>
      <c r="O41" s="52"/>
      <c r="P41" s="52"/>
      <c r="Q41" s="52"/>
    </row>
    <row r="42" ht="20" customHeight="1" spans="1:17">
      <c r="A42" s="53"/>
      <c r="B42" s="789" t="s">
        <v>163</v>
      </c>
      <c r="C42" s="790" t="s">
        <v>206</v>
      </c>
      <c r="D42" s="807" t="s">
        <v>207</v>
      </c>
      <c r="E42" s="512">
        <v>134797134671.801</v>
      </c>
      <c r="F42" s="806">
        <v>0</v>
      </c>
      <c r="G42" s="518">
        <v>134797134671.801</v>
      </c>
      <c r="H42" s="594">
        <v>12.2542200985893</v>
      </c>
      <c r="I42" s="818"/>
      <c r="J42" s="951" t="s">
        <v>163</v>
      </c>
      <c r="K42" s="790" t="s">
        <v>212</v>
      </c>
      <c r="L42" s="527" t="s">
        <v>213</v>
      </c>
      <c r="M42" s="551">
        <v>21811929750</v>
      </c>
      <c r="N42" s="594">
        <v>10.2375945192932</v>
      </c>
      <c r="O42" s="52"/>
      <c r="P42" s="52"/>
      <c r="Q42" s="52"/>
    </row>
    <row r="43" ht="20" customHeight="1" spans="1:17">
      <c r="A43" s="53"/>
      <c r="B43" s="789" t="s">
        <v>166</v>
      </c>
      <c r="C43" s="790" t="s">
        <v>212</v>
      </c>
      <c r="D43" s="807" t="s">
        <v>213</v>
      </c>
      <c r="E43" s="512">
        <v>122068686772.39</v>
      </c>
      <c r="F43" s="806">
        <v>50548245000.48</v>
      </c>
      <c r="G43" s="518">
        <v>71520441771.91</v>
      </c>
      <c r="H43" s="594">
        <v>11.0970945969785</v>
      </c>
      <c r="I43" s="818"/>
      <c r="J43" s="951" t="s">
        <v>166</v>
      </c>
      <c r="K43" s="790" t="s">
        <v>235</v>
      </c>
      <c r="L43" s="527" t="s">
        <v>236</v>
      </c>
      <c r="M43" s="551">
        <v>15227608625</v>
      </c>
      <c r="N43" s="594">
        <v>7.14719350319027</v>
      </c>
      <c r="O43" s="52"/>
      <c r="P43" s="52"/>
      <c r="Q43" s="52"/>
    </row>
    <row r="44" ht="20" customHeight="1" spans="1:17">
      <c r="A44" s="53"/>
      <c r="B44" s="789" t="s">
        <v>169</v>
      </c>
      <c r="C44" s="790" t="s">
        <v>216</v>
      </c>
      <c r="D44" s="807" t="s">
        <v>217</v>
      </c>
      <c r="E44" s="512">
        <v>32701610634.434</v>
      </c>
      <c r="F44" s="806">
        <v>0</v>
      </c>
      <c r="G44" s="518">
        <v>32701610634.434</v>
      </c>
      <c r="H44" s="594">
        <v>2.97285795627936</v>
      </c>
      <c r="I44" s="818"/>
      <c r="J44" s="951" t="s">
        <v>169</v>
      </c>
      <c r="K44" s="790" t="s">
        <v>237</v>
      </c>
      <c r="L44" s="527" t="s">
        <v>238</v>
      </c>
      <c r="M44" s="551">
        <v>8592953152</v>
      </c>
      <c r="N44" s="594">
        <v>4.03316767941905</v>
      </c>
      <c r="O44" s="52"/>
      <c r="P44" s="52"/>
      <c r="Q44" s="52"/>
    </row>
    <row r="45" ht="20" customHeight="1" spans="1:17">
      <c r="A45" s="53"/>
      <c r="B45" s="789" t="s">
        <v>174</v>
      </c>
      <c r="C45" s="790" t="s">
        <v>220</v>
      </c>
      <c r="D45" s="807" t="s">
        <v>221</v>
      </c>
      <c r="E45" s="808">
        <v>25204610371.703</v>
      </c>
      <c r="F45" s="806">
        <v>0</v>
      </c>
      <c r="G45" s="518">
        <v>25204610371.703</v>
      </c>
      <c r="H45" s="594">
        <v>2.29131608580586</v>
      </c>
      <c r="I45" s="818"/>
      <c r="J45" s="951" t="s">
        <v>174</v>
      </c>
      <c r="K45" s="790" t="s">
        <v>220</v>
      </c>
      <c r="L45" s="527" t="s">
        <v>221</v>
      </c>
      <c r="M45" s="836">
        <v>3988976618</v>
      </c>
      <c r="N45" s="594">
        <v>1.87225640418293</v>
      </c>
      <c r="O45" s="52"/>
      <c r="P45" s="52"/>
      <c r="Q45" s="52"/>
    </row>
    <row r="46" ht="20" customHeight="1" spans="1:17">
      <c r="A46" s="53"/>
      <c r="B46" s="789" t="s">
        <v>179</v>
      </c>
      <c r="C46" s="790" t="s">
        <v>228</v>
      </c>
      <c r="D46" s="807" t="s">
        <v>229</v>
      </c>
      <c r="E46" s="512">
        <v>6680116668.12</v>
      </c>
      <c r="F46" s="806">
        <v>0</v>
      </c>
      <c r="G46" s="518">
        <v>6680116668.12</v>
      </c>
      <c r="H46" s="594">
        <v>0.607280118636842</v>
      </c>
      <c r="I46" s="818"/>
      <c r="J46" s="951" t="s">
        <v>179</v>
      </c>
      <c r="K46" s="790" t="s">
        <v>216</v>
      </c>
      <c r="L46" s="512" t="s">
        <v>217</v>
      </c>
      <c r="M46" s="791">
        <v>1662424449</v>
      </c>
      <c r="N46" s="594">
        <v>0.780271513015555</v>
      </c>
      <c r="O46" s="52"/>
      <c r="P46" s="52"/>
      <c r="Q46" s="52"/>
    </row>
    <row r="47" ht="20" customHeight="1" spans="1:17">
      <c r="A47" s="53"/>
      <c r="B47" s="789" t="s">
        <v>184</v>
      </c>
      <c r="C47" s="790" t="s">
        <v>239</v>
      </c>
      <c r="D47" s="807" t="s">
        <v>240</v>
      </c>
      <c r="E47" s="512">
        <v>1665960268.7</v>
      </c>
      <c r="F47" s="806">
        <v>0</v>
      </c>
      <c r="G47" s="518">
        <v>1665960268.7</v>
      </c>
      <c r="H47" s="594">
        <v>0.1514501317692</v>
      </c>
      <c r="I47" s="818"/>
      <c r="J47" s="951" t="s">
        <v>184</v>
      </c>
      <c r="K47" s="790" t="s">
        <v>239</v>
      </c>
      <c r="L47" s="512" t="s">
        <v>240</v>
      </c>
      <c r="M47" s="791">
        <v>685425351</v>
      </c>
      <c r="N47" s="594">
        <v>0.321709582655439</v>
      </c>
      <c r="O47" s="52"/>
      <c r="P47" s="52"/>
      <c r="Q47" s="52"/>
    </row>
    <row r="48" ht="20" customHeight="1" spans="1:17">
      <c r="A48" s="53"/>
      <c r="B48" s="789" t="s">
        <v>189</v>
      </c>
      <c r="C48" s="790" t="s">
        <v>235</v>
      </c>
      <c r="D48" s="807" t="s">
        <v>236</v>
      </c>
      <c r="E48" s="512">
        <v>761856125.33</v>
      </c>
      <c r="F48" s="806">
        <v>0</v>
      </c>
      <c r="G48" s="518">
        <v>761856125.33</v>
      </c>
      <c r="H48" s="594">
        <v>0.0692592811114502</v>
      </c>
      <c r="I48" s="818"/>
      <c r="J48" s="951" t="s">
        <v>189</v>
      </c>
      <c r="K48" s="790" t="s">
        <v>241</v>
      </c>
      <c r="L48" s="837" t="s">
        <v>242</v>
      </c>
      <c r="M48" s="791">
        <v>110857086</v>
      </c>
      <c r="N48" s="594">
        <v>0.0520316133907602</v>
      </c>
      <c r="O48" s="52"/>
      <c r="P48" s="52"/>
      <c r="Q48" s="52"/>
    </row>
    <row r="49" ht="20" customHeight="1" spans="1:17">
      <c r="A49" s="53"/>
      <c r="B49" s="792" t="s">
        <v>192</v>
      </c>
      <c r="C49" s="793" t="s">
        <v>243</v>
      </c>
      <c r="D49" s="809" t="s">
        <v>244</v>
      </c>
      <c r="E49" s="794">
        <v>484871095.5</v>
      </c>
      <c r="F49" s="806">
        <v>0</v>
      </c>
      <c r="G49" s="518">
        <v>484871095.5</v>
      </c>
      <c r="H49" s="594">
        <v>0.0440789571541546</v>
      </c>
      <c r="I49" s="821"/>
      <c r="J49" s="952" t="s">
        <v>192</v>
      </c>
      <c r="K49" s="793" t="s">
        <v>208</v>
      </c>
      <c r="L49" s="794" t="s">
        <v>209</v>
      </c>
      <c r="M49" s="795">
        <v>63151104</v>
      </c>
      <c r="N49" s="594">
        <v>0.0296404492224132</v>
      </c>
      <c r="O49" s="52"/>
      <c r="P49" s="52"/>
      <c r="Q49" s="52"/>
    </row>
    <row r="50" ht="15.6" spans="1:17">
      <c r="A50" s="53"/>
      <c r="H50" s="799"/>
      <c r="I50" s="799"/>
      <c r="N50" s="799"/>
      <c r="O50" s="52"/>
      <c r="P50" s="52"/>
      <c r="Q50" s="52"/>
    </row>
    <row r="51" spans="15:17">
      <c r="O51" s="52"/>
      <c r="P51" s="52"/>
      <c r="Q51" s="52"/>
    </row>
    <row r="53" spans="12:12">
      <c r="L53" s="53"/>
    </row>
    <row r="54" spans="12:12">
      <c r="L54" s="53"/>
    </row>
    <row r="55" spans="12:12">
      <c r="L55" s="53"/>
    </row>
    <row r="56" spans="12:12">
      <c r="L56" s="53"/>
    </row>
    <row r="57" spans="12:12">
      <c r="L57" s="53"/>
    </row>
    <row r="58" spans="12:12">
      <c r="L58" s="53"/>
    </row>
    <row r="59" spans="12:12">
      <c r="L59" s="53"/>
    </row>
    <row r="60" spans="12:12">
      <c r="L60" s="53"/>
    </row>
    <row r="61" spans="12:12">
      <c r="L61" s="53"/>
    </row>
    <row r="62" spans="12:12">
      <c r="L62" s="53"/>
    </row>
    <row r="63" spans="12:12">
      <c r="L63" s="53"/>
    </row>
  </sheetData>
  <mergeCells count="9">
    <mergeCell ref="B2:N2"/>
    <mergeCell ref="B3:H3"/>
    <mergeCell ref="J3:N3"/>
    <mergeCell ref="B19:N19"/>
    <mergeCell ref="B20:H20"/>
    <mergeCell ref="J20:N20"/>
    <mergeCell ref="B37:N37"/>
    <mergeCell ref="B38:H38"/>
    <mergeCell ref="J38:N3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zoomScale="71" zoomScaleNormal="71" topLeftCell="A2" workbookViewId="0">
      <selection activeCell="B10" sqref="B10"/>
    </sheetView>
  </sheetViews>
  <sheetFormatPr defaultColWidth="8.81481481481481" defaultRowHeight="15.6"/>
  <cols>
    <col min="1" max="1" width="12.6296296296296" style="752" customWidth="1"/>
    <col min="2" max="2" width="94.6296296296296" style="753" customWidth="1"/>
    <col min="3" max="3" width="26.9074074074074" style="1" customWidth="1"/>
    <col min="4" max="4" width="21.1759259259259" style="1" customWidth="1"/>
    <col min="5" max="5" width="22.7222222222222" style="1" customWidth="1"/>
    <col min="6" max="6" width="20.4537037037037" style="1" customWidth="1"/>
    <col min="7" max="7" width="24.8148148148148" style="1" customWidth="1"/>
    <col min="8" max="8" width="20.4537037037037" style="1" customWidth="1"/>
    <col min="9" max="9" width="18" style="1" customWidth="1"/>
    <col min="10" max="11" width="8.81481481481481" style="1"/>
    <col min="12" max="12" width="16.2685185185185" style="1" customWidth="1"/>
    <col min="13" max="16384" width="8.81481481481481" style="1"/>
  </cols>
  <sheetData>
    <row r="1" ht="22.25" customHeight="1" spans="1:7">
      <c r="A1" s="754" t="s">
        <v>245</v>
      </c>
      <c r="B1" s="754"/>
      <c r="C1" s="754"/>
      <c r="D1" s="754"/>
      <c r="E1" s="754"/>
      <c r="F1" s="754"/>
      <c r="G1" s="754"/>
    </row>
    <row r="2" ht="35" customHeight="1" spans="1:9">
      <c r="A2" s="755" t="s">
        <v>246</v>
      </c>
      <c r="B2" s="756" t="s">
        <v>247</v>
      </c>
      <c r="C2" s="756" t="s">
        <v>148</v>
      </c>
      <c r="D2" s="7" t="s">
        <v>248</v>
      </c>
      <c r="E2" s="7" t="s">
        <v>249</v>
      </c>
      <c r="F2" s="7" t="s">
        <v>250</v>
      </c>
      <c r="G2" s="7" t="s">
        <v>251</v>
      </c>
      <c r="I2" s="5"/>
    </row>
    <row r="3" ht="35" customHeight="1" spans="1:12">
      <c r="A3" s="757" t="s">
        <v>252</v>
      </c>
      <c r="B3" s="756" t="s">
        <v>253</v>
      </c>
      <c r="C3" s="537" t="s">
        <v>196</v>
      </c>
      <c r="D3" s="758">
        <v>305372</v>
      </c>
      <c r="E3" s="537">
        <v>0</v>
      </c>
      <c r="F3" s="537">
        <v>0</v>
      </c>
      <c r="G3" s="537">
        <v>305372</v>
      </c>
      <c r="H3" s="5"/>
      <c r="I3" s="5"/>
      <c r="L3" s="15"/>
    </row>
    <row r="4" ht="35" customHeight="1" spans="1:12">
      <c r="A4" s="757">
        <v>2844100000</v>
      </c>
      <c r="B4" s="756" t="s">
        <v>254</v>
      </c>
      <c r="C4" s="537" t="s">
        <v>255</v>
      </c>
      <c r="D4" s="758">
        <v>0</v>
      </c>
      <c r="E4" s="537">
        <v>5267574</v>
      </c>
      <c r="F4" s="245">
        <v>0</v>
      </c>
      <c r="G4" s="537">
        <v>5267574</v>
      </c>
      <c r="H4" s="5"/>
      <c r="I4" s="5"/>
      <c r="L4" s="15"/>
    </row>
    <row r="5" ht="35" customHeight="1" spans="1:12">
      <c r="A5" s="757" t="s">
        <v>256</v>
      </c>
      <c r="B5" s="756" t="s">
        <v>257</v>
      </c>
      <c r="C5" s="537" t="s">
        <v>255</v>
      </c>
      <c r="D5" s="758">
        <v>0</v>
      </c>
      <c r="E5" s="537">
        <v>27712857</v>
      </c>
      <c r="F5" s="245">
        <v>0</v>
      </c>
      <c r="G5" s="537">
        <v>27712857</v>
      </c>
      <c r="H5" s="5"/>
      <c r="I5" s="5"/>
      <c r="L5" s="15"/>
    </row>
    <row r="6" ht="35" customHeight="1" spans="1:12">
      <c r="A6" s="757" t="s">
        <v>258</v>
      </c>
      <c r="B6" s="756" t="s">
        <v>259</v>
      </c>
      <c r="C6" s="537" t="s">
        <v>260</v>
      </c>
      <c r="D6" s="758">
        <v>0</v>
      </c>
      <c r="E6" s="537">
        <v>9724279</v>
      </c>
      <c r="F6" s="245">
        <v>0</v>
      </c>
      <c r="G6" s="537">
        <v>9724279</v>
      </c>
      <c r="H6" s="5"/>
      <c r="I6" s="5"/>
      <c r="L6" s="15"/>
    </row>
    <row r="7" ht="35" customHeight="1" spans="1:12">
      <c r="A7" s="757" t="s">
        <v>261</v>
      </c>
      <c r="B7" s="756" t="s">
        <v>262</v>
      </c>
      <c r="C7" s="537" t="s">
        <v>171</v>
      </c>
      <c r="D7" s="758">
        <v>0</v>
      </c>
      <c r="E7" s="537">
        <v>0</v>
      </c>
      <c r="F7" s="245">
        <v>42128424</v>
      </c>
      <c r="G7" s="537">
        <v>42128424</v>
      </c>
      <c r="H7" s="5"/>
      <c r="I7" s="5"/>
      <c r="L7" s="15"/>
    </row>
    <row r="8" ht="35" customHeight="1" spans="1:12">
      <c r="A8" s="757" t="s">
        <v>261</v>
      </c>
      <c r="B8" s="756" t="s">
        <v>262</v>
      </c>
      <c r="C8" s="537" t="s">
        <v>186</v>
      </c>
      <c r="D8" s="758">
        <v>0</v>
      </c>
      <c r="E8" s="537">
        <v>21523538</v>
      </c>
      <c r="F8" s="245">
        <v>0</v>
      </c>
      <c r="G8" s="537">
        <v>21523538</v>
      </c>
      <c r="H8" s="5"/>
      <c r="I8" s="5"/>
      <c r="L8" s="15"/>
    </row>
    <row r="9" ht="35" customHeight="1" spans="1:12">
      <c r="A9" s="757" t="s">
        <v>263</v>
      </c>
      <c r="B9" s="756" t="s">
        <v>264</v>
      </c>
      <c r="C9" s="537" t="s">
        <v>215</v>
      </c>
      <c r="D9" s="758">
        <v>0</v>
      </c>
      <c r="E9" s="537">
        <v>0</v>
      </c>
      <c r="F9" s="245">
        <v>33086116</v>
      </c>
      <c r="G9" s="537">
        <v>33086116</v>
      </c>
      <c r="H9" s="5"/>
      <c r="I9" s="5"/>
      <c r="L9" s="15"/>
    </row>
    <row r="10" ht="35" customHeight="1" spans="1:12">
      <c r="A10" s="757" t="s">
        <v>265</v>
      </c>
      <c r="B10" s="756" t="s">
        <v>266</v>
      </c>
      <c r="C10" s="537" t="s">
        <v>225</v>
      </c>
      <c r="D10" s="758">
        <v>0</v>
      </c>
      <c r="E10" s="537">
        <v>3499</v>
      </c>
      <c r="F10" s="245">
        <v>0</v>
      </c>
      <c r="G10" s="537">
        <v>3499</v>
      </c>
      <c r="H10" s="5"/>
      <c r="I10" s="5"/>
      <c r="L10" s="15"/>
    </row>
    <row r="11" ht="35" customHeight="1" spans="1:12">
      <c r="A11" s="757" t="s">
        <v>267</v>
      </c>
      <c r="B11" s="756" t="s">
        <v>268</v>
      </c>
      <c r="C11" s="537" t="s">
        <v>269</v>
      </c>
      <c r="D11" s="758">
        <v>0</v>
      </c>
      <c r="E11" s="537">
        <v>0</v>
      </c>
      <c r="F11" s="245">
        <v>34041018</v>
      </c>
      <c r="G11" s="537">
        <v>34041018</v>
      </c>
      <c r="H11" s="5"/>
      <c r="I11" s="5"/>
      <c r="L11" s="15"/>
    </row>
    <row r="12" ht="35" customHeight="1" spans="1:12">
      <c r="A12" s="757" t="s">
        <v>270</v>
      </c>
      <c r="B12" s="756" t="s">
        <v>271</v>
      </c>
      <c r="C12" s="537" t="s">
        <v>242</v>
      </c>
      <c r="D12" s="758">
        <v>21602065</v>
      </c>
      <c r="E12" s="537">
        <v>0</v>
      </c>
      <c r="F12" s="245">
        <v>0</v>
      </c>
      <c r="G12" s="537">
        <v>21602065</v>
      </c>
      <c r="H12" s="5"/>
      <c r="I12" s="5"/>
      <c r="L12" s="15"/>
    </row>
    <row r="13" ht="35" customHeight="1" spans="1:12">
      <c r="A13" s="757" t="s">
        <v>272</v>
      </c>
      <c r="B13" s="756" t="s">
        <v>273</v>
      </c>
      <c r="C13" s="537" t="s">
        <v>191</v>
      </c>
      <c r="D13" s="758">
        <v>0</v>
      </c>
      <c r="E13" s="537">
        <v>0</v>
      </c>
      <c r="F13" s="245">
        <v>36956786</v>
      </c>
      <c r="G13" s="537">
        <v>36956786</v>
      </c>
      <c r="H13" s="5"/>
      <c r="I13" s="5"/>
      <c r="L13" s="15"/>
    </row>
    <row r="14" ht="35" customHeight="1" spans="1:12">
      <c r="A14" s="757" t="s">
        <v>106</v>
      </c>
      <c r="B14" s="756" t="s">
        <v>107</v>
      </c>
      <c r="C14" s="537" t="s">
        <v>215</v>
      </c>
      <c r="D14" s="758">
        <v>0</v>
      </c>
      <c r="E14" s="537">
        <v>676710450</v>
      </c>
      <c r="F14" s="245">
        <v>300060</v>
      </c>
      <c r="G14" s="537">
        <v>677010510</v>
      </c>
      <c r="H14" s="5"/>
      <c r="I14" s="5"/>
      <c r="L14" s="15"/>
    </row>
    <row r="15" ht="35" customHeight="1" spans="1:12">
      <c r="A15" s="757" t="s">
        <v>106</v>
      </c>
      <c r="B15" s="756" t="s">
        <v>107</v>
      </c>
      <c r="C15" s="537" t="s">
        <v>171</v>
      </c>
      <c r="D15" s="758">
        <v>452369400</v>
      </c>
      <c r="E15" s="537">
        <v>0</v>
      </c>
      <c r="F15" s="245">
        <v>0</v>
      </c>
      <c r="G15" s="537">
        <v>452369400</v>
      </c>
      <c r="H15" s="5"/>
      <c r="I15" s="5"/>
      <c r="L15" s="15"/>
    </row>
    <row r="16" ht="35" customHeight="1" spans="1:12">
      <c r="A16" s="757" t="s">
        <v>106</v>
      </c>
      <c r="B16" s="756" t="s">
        <v>107</v>
      </c>
      <c r="C16" s="537" t="s">
        <v>159</v>
      </c>
      <c r="D16" s="758">
        <v>229329001</v>
      </c>
      <c r="E16" s="537">
        <v>0</v>
      </c>
      <c r="F16" s="245">
        <v>0</v>
      </c>
      <c r="G16" s="537">
        <v>229329001</v>
      </c>
      <c r="H16" s="5"/>
      <c r="I16" s="5"/>
      <c r="L16" s="15"/>
    </row>
    <row r="17" ht="35" customHeight="1" spans="1:12">
      <c r="A17" s="757" t="s">
        <v>106</v>
      </c>
      <c r="B17" s="756" t="s">
        <v>107</v>
      </c>
      <c r="C17" s="537" t="s">
        <v>188</v>
      </c>
      <c r="D17" s="758">
        <v>0</v>
      </c>
      <c r="E17" s="537">
        <v>10682306</v>
      </c>
      <c r="F17" s="245">
        <v>1110028</v>
      </c>
      <c r="G17" s="537">
        <v>11792334</v>
      </c>
      <c r="H17" s="5"/>
      <c r="I17" s="5"/>
      <c r="L17" s="15"/>
    </row>
    <row r="18" ht="35" customHeight="1" spans="1:12">
      <c r="A18" s="757" t="s">
        <v>106</v>
      </c>
      <c r="B18" s="756" t="s">
        <v>107</v>
      </c>
      <c r="C18" s="537" t="s">
        <v>274</v>
      </c>
      <c r="D18" s="758">
        <v>667993</v>
      </c>
      <c r="E18" s="537">
        <v>0</v>
      </c>
      <c r="F18" s="245">
        <v>0</v>
      </c>
      <c r="G18" s="537">
        <v>667993</v>
      </c>
      <c r="H18" s="5"/>
      <c r="I18" s="5"/>
      <c r="L18" s="15"/>
    </row>
    <row r="19" ht="35" customHeight="1" spans="1:12">
      <c r="A19" s="757" t="s">
        <v>275</v>
      </c>
      <c r="B19" s="756" t="s">
        <v>276</v>
      </c>
      <c r="C19" s="537" t="s">
        <v>162</v>
      </c>
      <c r="D19" s="758">
        <v>0</v>
      </c>
      <c r="E19" s="537">
        <v>0</v>
      </c>
      <c r="F19" s="245">
        <v>3139380</v>
      </c>
      <c r="G19" s="537">
        <v>3139380</v>
      </c>
      <c r="H19" s="5"/>
      <c r="I19" s="5"/>
      <c r="L19" s="15"/>
    </row>
    <row r="20" ht="35" customHeight="1" spans="1:12">
      <c r="A20" s="757" t="s">
        <v>277</v>
      </c>
      <c r="B20" s="756" t="s">
        <v>278</v>
      </c>
      <c r="C20" s="537" t="s">
        <v>279</v>
      </c>
      <c r="D20" s="758">
        <v>1105792185</v>
      </c>
      <c r="E20" s="537">
        <v>1201685367</v>
      </c>
      <c r="F20" s="245">
        <v>938082748</v>
      </c>
      <c r="G20" s="537">
        <v>3245560300</v>
      </c>
      <c r="H20" s="5"/>
      <c r="I20" s="5"/>
      <c r="L20" s="15"/>
    </row>
    <row r="21" ht="35" customHeight="1" spans="1:12">
      <c r="A21" s="757" t="s">
        <v>88</v>
      </c>
      <c r="B21" s="756" t="s">
        <v>89</v>
      </c>
      <c r="C21" s="537" t="s">
        <v>191</v>
      </c>
      <c r="D21" s="758">
        <v>0</v>
      </c>
      <c r="E21" s="537">
        <v>0</v>
      </c>
      <c r="F21" s="245">
        <v>287324376</v>
      </c>
      <c r="G21" s="537">
        <v>287324376</v>
      </c>
      <c r="H21" s="5"/>
      <c r="I21" s="5"/>
      <c r="L21" s="15"/>
    </row>
    <row r="22" ht="35" customHeight="1" spans="1:12">
      <c r="A22" s="757" t="s">
        <v>280</v>
      </c>
      <c r="B22" s="756" t="s">
        <v>281</v>
      </c>
      <c r="C22" s="537" t="s">
        <v>173</v>
      </c>
      <c r="D22" s="758">
        <v>365086518</v>
      </c>
      <c r="E22" s="537">
        <v>0</v>
      </c>
      <c r="F22" s="245">
        <v>0</v>
      </c>
      <c r="G22" s="537">
        <v>365086518</v>
      </c>
      <c r="H22" s="5"/>
      <c r="I22" s="5"/>
      <c r="L22" s="15"/>
    </row>
    <row r="23" ht="35" customHeight="1" spans="1:12">
      <c r="A23" s="757" t="s">
        <v>282</v>
      </c>
      <c r="B23" s="756" t="s">
        <v>283</v>
      </c>
      <c r="C23" s="537" t="s">
        <v>205</v>
      </c>
      <c r="D23" s="758">
        <v>0</v>
      </c>
      <c r="E23" s="537">
        <v>0</v>
      </c>
      <c r="F23" s="245">
        <v>835112481</v>
      </c>
      <c r="G23" s="537">
        <v>835112481</v>
      </c>
      <c r="H23" s="5"/>
      <c r="I23" s="5"/>
      <c r="L23" s="15"/>
    </row>
    <row r="24" ht="35" customHeight="1" spans="1:12">
      <c r="A24" s="757" t="s">
        <v>282</v>
      </c>
      <c r="B24" s="756" t="s">
        <v>283</v>
      </c>
      <c r="C24" s="537" t="s">
        <v>284</v>
      </c>
      <c r="D24" s="758">
        <v>32959854</v>
      </c>
      <c r="E24" s="537">
        <v>0</v>
      </c>
      <c r="F24" s="245">
        <v>0</v>
      </c>
      <c r="G24" s="537">
        <v>32959854</v>
      </c>
      <c r="H24" s="5"/>
      <c r="I24" s="5"/>
      <c r="L24" s="15"/>
    </row>
    <row r="25" ht="35" customHeight="1" spans="1:12">
      <c r="A25" s="757" t="s">
        <v>282</v>
      </c>
      <c r="B25" s="756" t="s">
        <v>283</v>
      </c>
      <c r="C25" s="537" t="s">
        <v>285</v>
      </c>
      <c r="D25" s="758">
        <v>0</v>
      </c>
      <c r="E25" s="537">
        <v>0</v>
      </c>
      <c r="F25" s="245">
        <v>10322739</v>
      </c>
      <c r="G25" s="537">
        <v>10322739</v>
      </c>
      <c r="H25" s="5"/>
      <c r="I25" s="5"/>
      <c r="L25" s="15"/>
    </row>
    <row r="26" ht="35" customHeight="1" spans="1:12">
      <c r="A26" s="757" t="s">
        <v>282</v>
      </c>
      <c r="B26" s="756" t="s">
        <v>283</v>
      </c>
      <c r="C26" s="537" t="s">
        <v>225</v>
      </c>
      <c r="D26" s="758">
        <v>0</v>
      </c>
      <c r="E26" s="537">
        <v>0</v>
      </c>
      <c r="F26" s="245">
        <v>635735</v>
      </c>
      <c r="G26" s="537">
        <v>635735</v>
      </c>
      <c r="H26" s="5"/>
      <c r="I26" s="5"/>
      <c r="L26" s="15"/>
    </row>
    <row r="27" ht="35" customHeight="1" spans="1:12">
      <c r="A27" s="757" t="s">
        <v>286</v>
      </c>
      <c r="B27" s="756" t="s">
        <v>287</v>
      </c>
      <c r="C27" s="537" t="s">
        <v>205</v>
      </c>
      <c r="D27" s="758">
        <v>0</v>
      </c>
      <c r="E27" s="537">
        <v>0</v>
      </c>
      <c r="F27" s="245">
        <v>197715349</v>
      </c>
      <c r="G27" s="537">
        <v>197715349</v>
      </c>
      <c r="H27" s="5"/>
      <c r="I27" s="5"/>
      <c r="L27" s="15"/>
    </row>
    <row r="28" ht="35" customHeight="1" spans="1:12">
      <c r="A28" s="757" t="s">
        <v>286</v>
      </c>
      <c r="B28" s="756" t="s">
        <v>287</v>
      </c>
      <c r="C28" s="537" t="s">
        <v>207</v>
      </c>
      <c r="D28" s="758">
        <v>64047516</v>
      </c>
      <c r="E28" s="537">
        <v>62874018</v>
      </c>
      <c r="F28" s="245">
        <v>29562205</v>
      </c>
      <c r="G28" s="537">
        <v>156483739</v>
      </c>
      <c r="H28" s="5"/>
      <c r="I28" s="5"/>
      <c r="L28" s="15"/>
    </row>
    <row r="29" ht="35" customHeight="1" spans="1:12">
      <c r="A29" s="757" t="s">
        <v>288</v>
      </c>
      <c r="B29" s="756" t="s">
        <v>289</v>
      </c>
      <c r="C29" s="537" t="s">
        <v>188</v>
      </c>
      <c r="D29" s="758">
        <v>0</v>
      </c>
      <c r="E29" s="537">
        <v>393239664</v>
      </c>
      <c r="F29" s="245">
        <v>471889604</v>
      </c>
      <c r="G29" s="537">
        <v>865129268</v>
      </c>
      <c r="H29" s="5"/>
      <c r="I29" s="5"/>
      <c r="L29" s="15"/>
    </row>
    <row r="30" ht="35" customHeight="1" spans="1:12">
      <c r="A30" s="759" t="s">
        <v>290</v>
      </c>
      <c r="B30" s="756" t="s">
        <v>291</v>
      </c>
      <c r="C30" s="537" t="s">
        <v>217</v>
      </c>
      <c r="D30" s="758">
        <v>56331985</v>
      </c>
      <c r="E30" s="537">
        <v>0</v>
      </c>
      <c r="F30" s="537">
        <v>0</v>
      </c>
      <c r="G30" s="537">
        <v>56331985</v>
      </c>
      <c r="H30" s="5"/>
      <c r="I30" s="5"/>
      <c r="L30" s="15"/>
    </row>
    <row r="31" ht="35" customHeight="1" spans="1:12">
      <c r="A31" s="759" t="s">
        <v>290</v>
      </c>
      <c r="B31" s="756" t="s">
        <v>291</v>
      </c>
      <c r="C31" s="537" t="s">
        <v>162</v>
      </c>
      <c r="D31" s="758">
        <v>0</v>
      </c>
      <c r="E31" s="537">
        <v>0</v>
      </c>
      <c r="F31" s="537">
        <v>2384967</v>
      </c>
      <c r="G31" s="537">
        <v>2384967</v>
      </c>
      <c r="H31" s="5"/>
      <c r="I31" s="5"/>
      <c r="L31" s="15"/>
    </row>
    <row r="32" ht="35" customHeight="1" spans="1:12">
      <c r="A32" s="760" t="s">
        <v>292</v>
      </c>
      <c r="B32" s="756" t="s">
        <v>293</v>
      </c>
      <c r="C32" s="537" t="s">
        <v>294</v>
      </c>
      <c r="D32" s="758">
        <v>6647719</v>
      </c>
      <c r="E32" s="537">
        <v>0</v>
      </c>
      <c r="F32" s="761">
        <v>0</v>
      </c>
      <c r="G32" s="537">
        <v>6647719</v>
      </c>
      <c r="H32" s="5"/>
      <c r="I32" s="5"/>
      <c r="L32" s="19"/>
    </row>
    <row r="33" ht="35" customHeight="1" spans="1:9">
      <c r="A33" s="760" t="s">
        <v>295</v>
      </c>
      <c r="B33" s="756" t="s">
        <v>296</v>
      </c>
      <c r="C33" s="537" t="s">
        <v>213</v>
      </c>
      <c r="D33" s="758">
        <v>149281902</v>
      </c>
      <c r="E33" s="537">
        <v>0</v>
      </c>
      <c r="F33" s="537">
        <v>0</v>
      </c>
      <c r="G33" s="537">
        <v>149281902</v>
      </c>
      <c r="H33" s="5"/>
      <c r="I33" s="5"/>
    </row>
    <row r="34" ht="35" customHeight="1" spans="1:9">
      <c r="A34" s="760" t="s">
        <v>297</v>
      </c>
      <c r="B34" s="756" t="s">
        <v>298</v>
      </c>
      <c r="C34" s="537" t="s">
        <v>299</v>
      </c>
      <c r="D34" s="758">
        <v>0</v>
      </c>
      <c r="E34" s="537">
        <v>0</v>
      </c>
      <c r="F34" s="537">
        <v>370784</v>
      </c>
      <c r="G34" s="537">
        <v>370784</v>
      </c>
      <c r="H34" s="5"/>
      <c r="I34" s="5"/>
    </row>
    <row r="35" ht="35" customHeight="1" spans="1:9">
      <c r="A35" s="755" t="s">
        <v>300</v>
      </c>
      <c r="B35" s="756" t="s">
        <v>301</v>
      </c>
      <c r="C35" s="537" t="s">
        <v>255</v>
      </c>
      <c r="D35" s="758">
        <v>0</v>
      </c>
      <c r="E35" s="537">
        <v>107187640</v>
      </c>
      <c r="F35" s="537">
        <v>0</v>
      </c>
      <c r="G35" s="537">
        <v>107187640</v>
      </c>
      <c r="H35" s="5"/>
      <c r="I35" s="5"/>
    </row>
    <row r="36" ht="35" customHeight="1" spans="1:9">
      <c r="A36" s="755" t="s">
        <v>302</v>
      </c>
      <c r="B36" s="756" t="s">
        <v>303</v>
      </c>
      <c r="C36" s="537" t="s">
        <v>213</v>
      </c>
      <c r="D36" s="758">
        <v>182455658</v>
      </c>
      <c r="E36" s="537">
        <v>0</v>
      </c>
      <c r="F36" s="537">
        <v>0</v>
      </c>
      <c r="G36" s="537">
        <v>182455658</v>
      </c>
      <c r="H36" s="5"/>
      <c r="I36" s="5"/>
    </row>
    <row r="37" ht="35" customHeight="1" spans="1:9">
      <c r="A37" s="755" t="s">
        <v>304</v>
      </c>
      <c r="B37" s="756" t="s">
        <v>305</v>
      </c>
      <c r="C37" s="758" t="s">
        <v>306</v>
      </c>
      <c r="D37" s="758">
        <v>200000</v>
      </c>
      <c r="E37" s="758">
        <v>0</v>
      </c>
      <c r="F37" s="537">
        <v>0</v>
      </c>
      <c r="G37" s="537">
        <v>200000</v>
      </c>
      <c r="H37" s="5"/>
      <c r="I37" s="5"/>
    </row>
    <row r="38" ht="35" customHeight="1" spans="1:9">
      <c r="A38" s="757" t="s">
        <v>307</v>
      </c>
      <c r="B38" s="756" t="s">
        <v>308</v>
      </c>
      <c r="C38" s="537" t="s">
        <v>162</v>
      </c>
      <c r="D38" s="758">
        <v>4746205</v>
      </c>
      <c r="E38" s="537">
        <v>0</v>
      </c>
      <c r="F38" s="537">
        <v>0</v>
      </c>
      <c r="G38" s="537">
        <v>4746205</v>
      </c>
      <c r="H38" s="5"/>
      <c r="I38" s="5"/>
    </row>
    <row r="39" ht="35" customHeight="1" spans="1:9">
      <c r="A39" s="762" t="s">
        <v>309</v>
      </c>
      <c r="B39" s="756" t="s">
        <v>310</v>
      </c>
      <c r="C39" s="537" t="s">
        <v>311</v>
      </c>
      <c r="D39" s="758">
        <v>696884549</v>
      </c>
      <c r="E39" s="537">
        <v>0</v>
      </c>
      <c r="F39" s="537">
        <v>0</v>
      </c>
      <c r="G39" s="537">
        <v>696884549</v>
      </c>
      <c r="H39" s="5"/>
      <c r="I39" s="5"/>
    </row>
    <row r="40" ht="35" customHeight="1" spans="1:9">
      <c r="A40" s="762" t="s">
        <v>312</v>
      </c>
      <c r="B40" s="756" t="s">
        <v>313</v>
      </c>
      <c r="C40" s="758" t="s">
        <v>173</v>
      </c>
      <c r="D40" s="758">
        <v>0</v>
      </c>
      <c r="E40" s="758">
        <v>0</v>
      </c>
      <c r="F40" s="537">
        <v>168302200</v>
      </c>
      <c r="G40" s="537">
        <v>168302200</v>
      </c>
      <c r="H40" s="5"/>
      <c r="I40" s="5"/>
    </row>
    <row r="41" ht="35" customHeight="1" spans="1:9">
      <c r="A41" s="762" t="s">
        <v>314</v>
      </c>
      <c r="B41" s="756" t="s">
        <v>315</v>
      </c>
      <c r="C41" s="537" t="s">
        <v>274</v>
      </c>
      <c r="D41" s="758">
        <v>0</v>
      </c>
      <c r="E41" s="537">
        <v>0</v>
      </c>
      <c r="F41" s="537">
        <v>1318663280</v>
      </c>
      <c r="G41" s="537">
        <v>1318663280</v>
      </c>
      <c r="H41" s="5"/>
      <c r="I41" s="5"/>
    </row>
    <row r="42" ht="35" customHeight="1" spans="1:9">
      <c r="A42" s="762" t="s">
        <v>316</v>
      </c>
      <c r="B42" s="756" t="s">
        <v>317</v>
      </c>
      <c r="C42" s="537" t="s">
        <v>215</v>
      </c>
      <c r="D42" s="758">
        <v>0</v>
      </c>
      <c r="E42" s="537">
        <v>0</v>
      </c>
      <c r="F42" s="537">
        <v>91539567</v>
      </c>
      <c r="G42" s="537">
        <v>91539567</v>
      </c>
      <c r="H42" s="5"/>
      <c r="I42" s="5"/>
    </row>
    <row r="43" ht="35" customHeight="1" spans="1:9">
      <c r="A43" s="762" t="s">
        <v>316</v>
      </c>
      <c r="B43" s="756" t="s">
        <v>317</v>
      </c>
      <c r="C43" s="537" t="s">
        <v>284</v>
      </c>
      <c r="D43" s="758">
        <v>47016452</v>
      </c>
      <c r="E43" s="537">
        <v>0</v>
      </c>
      <c r="F43" s="537">
        <v>0</v>
      </c>
      <c r="G43" s="537">
        <v>47016452</v>
      </c>
      <c r="H43" s="5"/>
      <c r="I43" s="5"/>
    </row>
    <row r="44" ht="35" customHeight="1" spans="1:9">
      <c r="A44" s="762" t="s">
        <v>316</v>
      </c>
      <c r="B44" s="756" t="s">
        <v>317</v>
      </c>
      <c r="C44" s="245" t="s">
        <v>274</v>
      </c>
      <c r="D44" s="763">
        <v>0</v>
      </c>
      <c r="E44" s="245">
        <v>217165</v>
      </c>
      <c r="F44" s="763">
        <v>0</v>
      </c>
      <c r="G44" s="537">
        <v>217165</v>
      </c>
      <c r="H44" s="5"/>
      <c r="I44" s="5"/>
    </row>
    <row r="45" ht="35" customHeight="1" spans="1:9">
      <c r="A45" s="764" t="s">
        <v>318</v>
      </c>
      <c r="B45" s="756" t="s">
        <v>319</v>
      </c>
      <c r="C45" s="537" t="s">
        <v>320</v>
      </c>
      <c r="D45" s="765">
        <v>0</v>
      </c>
      <c r="E45" s="537">
        <v>0</v>
      </c>
      <c r="F45" s="537">
        <v>9167961</v>
      </c>
      <c r="G45" s="537">
        <v>9167961</v>
      </c>
      <c r="H45" s="5"/>
      <c r="I45" s="5"/>
    </row>
    <row r="46" ht="35" customHeight="1" spans="1:9">
      <c r="A46" s="764" t="s">
        <v>321</v>
      </c>
      <c r="B46" s="756" t="s">
        <v>322</v>
      </c>
      <c r="C46" s="537" t="s">
        <v>217</v>
      </c>
      <c r="D46" s="758">
        <v>0</v>
      </c>
      <c r="E46" s="537">
        <v>155467779</v>
      </c>
      <c r="F46" s="537">
        <v>0</v>
      </c>
      <c r="G46" s="537">
        <v>155467779</v>
      </c>
      <c r="H46" s="5"/>
      <c r="I46" s="5"/>
    </row>
    <row r="47" ht="35" customHeight="1" spans="1:9">
      <c r="A47" s="762" t="s">
        <v>323</v>
      </c>
      <c r="B47" s="756" t="s">
        <v>324</v>
      </c>
      <c r="C47" s="537" t="s">
        <v>217</v>
      </c>
      <c r="D47" s="758">
        <v>0</v>
      </c>
      <c r="E47" s="537">
        <v>56491958</v>
      </c>
      <c r="F47" s="537">
        <v>0</v>
      </c>
      <c r="G47" s="537">
        <v>56491958</v>
      </c>
      <c r="H47" s="5"/>
      <c r="I47" s="5"/>
    </row>
    <row r="48" ht="35" customHeight="1" spans="1:9">
      <c r="A48" s="762" t="s">
        <v>325</v>
      </c>
      <c r="B48" s="756" t="s">
        <v>326</v>
      </c>
      <c r="C48" s="758" t="s">
        <v>196</v>
      </c>
      <c r="D48" s="758">
        <v>454721457</v>
      </c>
      <c r="E48" s="758">
        <v>0</v>
      </c>
      <c r="F48" s="537">
        <v>0</v>
      </c>
      <c r="G48" s="537">
        <v>454721457</v>
      </c>
      <c r="H48" s="5"/>
      <c r="I48" s="5"/>
    </row>
    <row r="49" ht="35" customHeight="1" spans="1:9">
      <c r="A49" s="755" t="s">
        <v>327</v>
      </c>
      <c r="B49" s="756" t="s">
        <v>328</v>
      </c>
      <c r="C49" s="758" t="s">
        <v>225</v>
      </c>
      <c r="D49" s="758">
        <v>0</v>
      </c>
      <c r="E49" s="758">
        <v>16079335</v>
      </c>
      <c r="F49" s="537">
        <v>0</v>
      </c>
      <c r="G49" s="537">
        <v>16079335</v>
      </c>
      <c r="H49" s="5"/>
      <c r="I49" s="5"/>
    </row>
    <row r="50" ht="35" customHeight="1" spans="1:9">
      <c r="A50" s="762" t="s">
        <v>329</v>
      </c>
      <c r="B50" s="756" t="s">
        <v>330</v>
      </c>
      <c r="C50" s="758" t="s">
        <v>162</v>
      </c>
      <c r="D50" s="758">
        <v>0</v>
      </c>
      <c r="E50" s="758">
        <v>0</v>
      </c>
      <c r="F50" s="537">
        <v>3416183</v>
      </c>
      <c r="G50" s="537">
        <v>3416183</v>
      </c>
      <c r="H50" s="5"/>
      <c r="I50" s="5"/>
    </row>
    <row r="51" ht="35" customHeight="1" spans="1:9">
      <c r="A51" s="762" t="s">
        <v>329</v>
      </c>
      <c r="B51" s="756" t="s">
        <v>330</v>
      </c>
      <c r="C51" s="758" t="s">
        <v>217</v>
      </c>
      <c r="D51" s="758">
        <v>0</v>
      </c>
      <c r="E51" s="758">
        <v>34505</v>
      </c>
      <c r="F51" s="537">
        <v>0</v>
      </c>
      <c r="G51" s="537">
        <v>34505</v>
      </c>
      <c r="H51" s="5"/>
      <c r="I51" s="5"/>
    </row>
    <row r="52" ht="35" customHeight="1" spans="1:9">
      <c r="A52" s="762" t="s">
        <v>331</v>
      </c>
      <c r="B52" s="756" t="s">
        <v>332</v>
      </c>
      <c r="C52" s="758" t="s">
        <v>196</v>
      </c>
      <c r="D52" s="537">
        <v>99895374</v>
      </c>
      <c r="E52" s="758">
        <v>0</v>
      </c>
      <c r="F52" s="537">
        <v>0</v>
      </c>
      <c r="G52" s="537">
        <v>99895374</v>
      </c>
      <c r="H52" s="5"/>
      <c r="I52" s="5"/>
    </row>
    <row r="53" ht="35" customHeight="1" spans="1:9">
      <c r="A53" s="762" t="s">
        <v>333</v>
      </c>
      <c r="B53" s="756" t="s">
        <v>334</v>
      </c>
      <c r="C53" s="758" t="s">
        <v>217</v>
      </c>
      <c r="D53" s="537">
        <v>0</v>
      </c>
      <c r="E53" s="758">
        <v>44156846</v>
      </c>
      <c r="F53" s="537">
        <v>0</v>
      </c>
      <c r="G53" s="537">
        <v>44156846</v>
      </c>
      <c r="H53" s="5"/>
      <c r="I53" s="5"/>
    </row>
    <row r="54" ht="35" customHeight="1" spans="1:9">
      <c r="A54" s="953" t="s">
        <v>30</v>
      </c>
      <c r="B54" s="756" t="s">
        <v>31</v>
      </c>
      <c r="C54" s="758" t="s">
        <v>165</v>
      </c>
      <c r="D54" s="537">
        <v>1775461519</v>
      </c>
      <c r="E54" s="758">
        <v>0</v>
      </c>
      <c r="F54" s="758">
        <v>0</v>
      </c>
      <c r="G54" s="537">
        <v>1775461519</v>
      </c>
      <c r="H54" s="5"/>
      <c r="I54" s="5"/>
    </row>
    <row r="55" ht="35" customHeight="1" spans="1:9">
      <c r="A55" s="755" t="s">
        <v>30</v>
      </c>
      <c r="B55" s="756" t="s">
        <v>31</v>
      </c>
      <c r="C55" s="758" t="s">
        <v>162</v>
      </c>
      <c r="D55" s="537">
        <v>5922981</v>
      </c>
      <c r="E55" s="758">
        <v>0</v>
      </c>
      <c r="F55" s="537">
        <v>5248049</v>
      </c>
      <c r="G55" s="537">
        <v>11171030</v>
      </c>
      <c r="H55" s="5"/>
      <c r="I55" s="5"/>
    </row>
    <row r="56" ht="35" customHeight="1" spans="1:9">
      <c r="A56" s="755" t="s">
        <v>335</v>
      </c>
      <c r="B56" s="756" t="s">
        <v>336</v>
      </c>
      <c r="C56" s="758" t="s">
        <v>217</v>
      </c>
      <c r="D56" s="537">
        <v>80930115</v>
      </c>
      <c r="E56" s="758">
        <v>0</v>
      </c>
      <c r="F56" s="537">
        <v>0</v>
      </c>
      <c r="G56" s="537">
        <v>80930115</v>
      </c>
      <c r="H56" s="5"/>
      <c r="I56" s="5"/>
    </row>
    <row r="57" ht="35" customHeight="1" spans="1:9">
      <c r="A57" s="755" t="s">
        <v>337</v>
      </c>
      <c r="B57" s="756" t="s">
        <v>338</v>
      </c>
      <c r="C57" s="758" t="s">
        <v>171</v>
      </c>
      <c r="D57" s="537">
        <v>0</v>
      </c>
      <c r="E57" s="758">
        <v>0</v>
      </c>
      <c r="F57" s="537">
        <v>37227664070</v>
      </c>
      <c r="G57" s="537">
        <v>37227664070</v>
      </c>
      <c r="H57" s="5"/>
      <c r="I57" s="5"/>
    </row>
    <row r="58" ht="35" customHeight="1" spans="1:9">
      <c r="A58" s="762" t="s">
        <v>98</v>
      </c>
      <c r="B58" s="756" t="s">
        <v>99</v>
      </c>
      <c r="C58" s="758" t="s">
        <v>213</v>
      </c>
      <c r="D58" s="537">
        <v>7984173202</v>
      </c>
      <c r="E58" s="758">
        <v>0</v>
      </c>
      <c r="F58" s="537">
        <v>0</v>
      </c>
      <c r="G58" s="537">
        <v>7984173202</v>
      </c>
      <c r="H58" s="5"/>
      <c r="I58" s="5"/>
    </row>
    <row r="59" ht="35" customHeight="1" spans="1:9">
      <c r="A59" s="762" t="s">
        <v>339</v>
      </c>
      <c r="B59" s="756" t="s">
        <v>340</v>
      </c>
      <c r="C59" s="758" t="s">
        <v>165</v>
      </c>
      <c r="D59" s="537">
        <v>51186688</v>
      </c>
      <c r="E59" s="758">
        <v>425486621</v>
      </c>
      <c r="F59" s="537">
        <v>0</v>
      </c>
      <c r="G59" s="537">
        <v>476673309</v>
      </c>
      <c r="H59" s="5"/>
      <c r="I59" s="5"/>
    </row>
    <row r="60" ht="35" customHeight="1" spans="1:9">
      <c r="A60" s="762" t="s">
        <v>339</v>
      </c>
      <c r="B60" s="756" t="s">
        <v>340</v>
      </c>
      <c r="C60" s="758" t="s">
        <v>173</v>
      </c>
      <c r="D60" s="537">
        <v>45441473</v>
      </c>
      <c r="E60" s="758">
        <v>0</v>
      </c>
      <c r="F60" s="537">
        <v>0</v>
      </c>
      <c r="G60" s="537">
        <v>45441473</v>
      </c>
      <c r="H60" s="5"/>
      <c r="I60" s="5"/>
    </row>
    <row r="61" ht="35" customHeight="1" spans="1:9">
      <c r="A61" s="762" t="s">
        <v>341</v>
      </c>
      <c r="B61" s="756" t="s">
        <v>342</v>
      </c>
      <c r="C61" s="758" t="s">
        <v>343</v>
      </c>
      <c r="D61" s="537">
        <v>0</v>
      </c>
      <c r="E61" s="758">
        <v>0</v>
      </c>
      <c r="F61" s="537">
        <v>71186675</v>
      </c>
      <c r="G61" s="537">
        <v>71186675</v>
      </c>
      <c r="H61" s="5"/>
      <c r="I61" s="5"/>
    </row>
    <row r="62" ht="35" customHeight="1" spans="1:9">
      <c r="A62" s="760" t="s">
        <v>341</v>
      </c>
      <c r="B62" s="756" t="s">
        <v>342</v>
      </c>
      <c r="C62" s="758" t="s">
        <v>173</v>
      </c>
      <c r="D62" s="537">
        <v>45441473</v>
      </c>
      <c r="E62" s="758">
        <v>0</v>
      </c>
      <c r="F62" s="537">
        <v>0</v>
      </c>
      <c r="G62" s="537">
        <v>45441473</v>
      </c>
      <c r="H62" s="5"/>
      <c r="I62" s="5"/>
    </row>
    <row r="63" ht="35" customHeight="1" spans="1:9">
      <c r="A63" s="755" t="s">
        <v>341</v>
      </c>
      <c r="B63" s="756" t="s">
        <v>342</v>
      </c>
      <c r="C63" s="758" t="s">
        <v>203</v>
      </c>
      <c r="D63" s="537">
        <v>0</v>
      </c>
      <c r="E63" s="758">
        <v>39438110</v>
      </c>
      <c r="F63" s="758">
        <v>0</v>
      </c>
      <c r="G63" s="537">
        <v>39438110</v>
      </c>
      <c r="H63" s="5"/>
      <c r="I63" s="5"/>
    </row>
    <row r="64" ht="35" customHeight="1" spans="1:9">
      <c r="A64" s="755" t="s">
        <v>341</v>
      </c>
      <c r="B64" s="756" t="s">
        <v>342</v>
      </c>
      <c r="C64" s="758" t="s">
        <v>294</v>
      </c>
      <c r="D64" s="537">
        <v>17081442</v>
      </c>
      <c r="E64" s="758">
        <v>0</v>
      </c>
      <c r="F64" s="758">
        <v>0</v>
      </c>
      <c r="G64" s="537">
        <v>17081442</v>
      </c>
      <c r="H64" s="5"/>
      <c r="I64" s="5"/>
    </row>
    <row r="65" ht="35" customHeight="1" spans="1:9">
      <c r="A65" s="766" t="s">
        <v>344</v>
      </c>
      <c r="B65" s="756" t="s">
        <v>345</v>
      </c>
      <c r="C65" s="765" t="s">
        <v>255</v>
      </c>
      <c r="D65" s="767">
        <v>0</v>
      </c>
      <c r="E65" s="765">
        <v>95569186</v>
      </c>
      <c r="F65" s="765">
        <v>0</v>
      </c>
      <c r="G65" s="537">
        <v>95569186</v>
      </c>
      <c r="H65" s="5"/>
      <c r="I65" s="5"/>
    </row>
    <row r="66" ht="35" customHeight="1" spans="1:9">
      <c r="A66" s="766" t="s">
        <v>346</v>
      </c>
      <c r="B66" s="756" t="s">
        <v>347</v>
      </c>
      <c r="C66" s="758" t="s">
        <v>255</v>
      </c>
      <c r="D66" s="537">
        <v>0</v>
      </c>
      <c r="E66" s="758">
        <v>14492982</v>
      </c>
      <c r="F66" s="758">
        <v>0</v>
      </c>
      <c r="G66" s="537">
        <v>14492982</v>
      </c>
      <c r="H66" s="5"/>
      <c r="I66" s="5"/>
    </row>
    <row r="67" ht="35" customHeight="1" spans="1:9">
      <c r="A67" s="755" t="s">
        <v>348</v>
      </c>
      <c r="B67" s="756" t="s">
        <v>349</v>
      </c>
      <c r="C67" s="758" t="s">
        <v>173</v>
      </c>
      <c r="D67" s="537">
        <v>45441473</v>
      </c>
      <c r="E67" s="758">
        <v>0</v>
      </c>
      <c r="F67" s="758">
        <v>0</v>
      </c>
      <c r="G67" s="537">
        <v>45441473</v>
      </c>
      <c r="H67" s="5"/>
      <c r="I67" s="5"/>
    </row>
    <row r="68" ht="35" customHeight="1" spans="1:9">
      <c r="A68" s="755" t="s">
        <v>350</v>
      </c>
      <c r="B68" s="756" t="s">
        <v>351</v>
      </c>
      <c r="C68" s="537" t="s">
        <v>173</v>
      </c>
      <c r="D68" s="537">
        <v>45441473</v>
      </c>
      <c r="E68" s="537">
        <v>0</v>
      </c>
      <c r="F68" s="758">
        <v>0</v>
      </c>
      <c r="G68" s="537">
        <v>45441473</v>
      </c>
      <c r="H68" s="5"/>
      <c r="I68" s="5"/>
    </row>
    <row r="69" ht="35" customHeight="1" spans="1:9">
      <c r="A69" s="755" t="s">
        <v>352</v>
      </c>
      <c r="B69" s="756" t="s">
        <v>353</v>
      </c>
      <c r="C69" s="537" t="s">
        <v>196</v>
      </c>
      <c r="D69" s="537">
        <v>0</v>
      </c>
      <c r="E69" s="537">
        <v>0</v>
      </c>
      <c r="F69" s="537">
        <v>42462896</v>
      </c>
      <c r="G69" s="537">
        <v>42462896</v>
      </c>
      <c r="H69" s="5"/>
      <c r="I69" s="5"/>
    </row>
    <row r="70" ht="35" customHeight="1" spans="1:7">
      <c r="A70" s="755" t="s">
        <v>352</v>
      </c>
      <c r="B70" s="756" t="s">
        <v>353</v>
      </c>
      <c r="C70" s="7" t="s">
        <v>173</v>
      </c>
      <c r="D70" s="537">
        <v>17661251</v>
      </c>
      <c r="E70" s="537">
        <v>0</v>
      </c>
      <c r="F70" s="537">
        <v>0</v>
      </c>
      <c r="G70" s="537">
        <v>17661251</v>
      </c>
    </row>
    <row r="71" ht="35" customHeight="1" spans="1:7">
      <c r="A71" s="768"/>
      <c r="B71" s="769"/>
      <c r="C71" s="514"/>
      <c r="D71" s="770"/>
      <c r="E71" s="770"/>
      <c r="F71" s="770"/>
      <c r="G71" s="770"/>
    </row>
    <row r="72" ht="35" customHeight="1" spans="1:7">
      <c r="A72" s="771"/>
      <c r="B72" s="772" t="s">
        <v>354</v>
      </c>
      <c r="C72" s="773"/>
      <c r="D72" s="774">
        <v>14084524295</v>
      </c>
      <c r="E72" s="774">
        <v>3364045679</v>
      </c>
      <c r="F72" s="774">
        <v>41861813681</v>
      </c>
      <c r="G72" s="774">
        <v>59310383655</v>
      </c>
    </row>
    <row r="73" ht="35" customHeight="1" spans="4:7">
      <c r="D73" s="15"/>
      <c r="E73" s="15"/>
      <c r="F73" s="15"/>
      <c r="G73" s="15"/>
    </row>
    <row r="74" ht="35" customHeight="1" spans="4:7">
      <c r="D74" s="15"/>
      <c r="E74" s="15"/>
      <c r="F74" s="15"/>
      <c r="G74" s="15"/>
    </row>
    <row r="75" ht="35" customHeight="1" spans="3:7">
      <c r="C75" s="178"/>
      <c r="D75" s="178"/>
      <c r="E75" s="178"/>
      <c r="F75" s="775"/>
      <c r="G75" s="776"/>
    </row>
    <row r="76" ht="35" customHeight="1" spans="3:7">
      <c r="C76" s="178"/>
      <c r="D76" s="178"/>
      <c r="E76" s="178"/>
      <c r="F76" s="775"/>
      <c r="G76" s="776"/>
    </row>
    <row r="77" ht="35" customHeight="1" spans="6:7">
      <c r="F77" s="776"/>
      <c r="G77" s="776"/>
    </row>
    <row r="78" ht="35" customHeight="1" spans="5:5">
      <c r="E78" s="5"/>
    </row>
    <row r="80" ht="35" customHeight="1" spans="6:7">
      <c r="F80" s="776"/>
      <c r="G80" s="776"/>
    </row>
    <row r="81" ht="35" customHeight="1" spans="6:7">
      <c r="F81" s="776"/>
      <c r="G81" s="776"/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129"/>
  <sheetViews>
    <sheetView zoomScale="75" zoomScaleNormal="75" workbookViewId="0">
      <selection activeCell="B2" sqref="B2:O2"/>
    </sheetView>
  </sheetViews>
  <sheetFormatPr defaultColWidth="9.17592592592593" defaultRowHeight="17.4"/>
  <cols>
    <col min="1" max="1" width="3.62962962962963" style="176" customWidth="1"/>
    <col min="2" max="2" width="10.5462962962963" style="696" customWidth="1"/>
    <col min="3" max="3" width="12.4537037037037" style="697" customWidth="1"/>
    <col min="4" max="4" width="19.4537037037037" style="698" customWidth="1"/>
    <col min="5" max="5" width="19.7222222222222" style="698" customWidth="1"/>
    <col min="6" max="6" width="21.4537037037037" style="699" customWidth="1"/>
    <col min="7" max="7" width="19.4537037037037" style="698" customWidth="1"/>
    <col min="8" max="8" width="18.2685185185185" style="698" customWidth="1"/>
    <col min="9" max="9" width="18.1759259259259" style="698" customWidth="1"/>
    <col min="10" max="10" width="22.4537037037037" style="700" customWidth="1"/>
    <col min="11" max="11" width="10.7222222222222" style="698" customWidth="1"/>
    <col min="12" max="12" width="12.8148148148148" style="698" customWidth="1"/>
    <col min="13" max="13" width="13.2685185185185" style="701" customWidth="1"/>
    <col min="14" max="14" width="10" style="698" customWidth="1"/>
    <col min="15" max="16" width="10" style="702" customWidth="1"/>
    <col min="17" max="17" width="16.1759259259259" style="703" customWidth="1"/>
    <col min="18" max="18" width="10" style="703" customWidth="1"/>
    <col min="19" max="16384" width="9.17592592592593" style="176"/>
  </cols>
  <sheetData>
    <row r="2" ht="26" customHeight="1" spans="2:16">
      <c r="B2" s="704" t="s">
        <v>355</v>
      </c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29"/>
      <c r="P2" s="730"/>
    </row>
    <row r="3" ht="85.5" customHeight="1" spans="2:23">
      <c r="B3" s="706"/>
      <c r="C3" s="707"/>
      <c r="D3" s="708" t="s">
        <v>356</v>
      </c>
      <c r="E3" s="708" t="s">
        <v>357</v>
      </c>
      <c r="F3" s="708" t="s">
        <v>358</v>
      </c>
      <c r="G3" s="708" t="s">
        <v>359</v>
      </c>
      <c r="H3" s="709" t="s">
        <v>360</v>
      </c>
      <c r="I3" s="709" t="s">
        <v>361</v>
      </c>
      <c r="J3" s="709" t="s">
        <v>362</v>
      </c>
      <c r="K3" s="709" t="s">
        <v>363</v>
      </c>
      <c r="L3" s="709" t="s">
        <v>364</v>
      </c>
      <c r="M3" s="731" t="s">
        <v>365</v>
      </c>
      <c r="N3" s="709" t="s">
        <v>366</v>
      </c>
      <c r="O3" s="709" t="s">
        <v>367</v>
      </c>
      <c r="P3" s="732"/>
      <c r="Q3" s="732"/>
      <c r="R3" s="732"/>
      <c r="S3" s="732"/>
      <c r="T3" s="732"/>
      <c r="U3" s="732"/>
      <c r="V3" s="732"/>
      <c r="W3" s="732"/>
    </row>
    <row r="4" ht="15.6" spans="2:18">
      <c r="B4" s="710">
        <v>2020</v>
      </c>
      <c r="C4" s="711" t="s">
        <v>368</v>
      </c>
      <c r="D4" s="712">
        <v>12700943.807826</v>
      </c>
      <c r="E4" s="712">
        <v>12522684.4438475</v>
      </c>
      <c r="F4" s="712">
        <v>-178259.363978529</v>
      </c>
      <c r="G4" s="712">
        <v>25223628.2516735</v>
      </c>
      <c r="H4" s="712">
        <v>9444655.98263812</v>
      </c>
      <c r="I4" s="712">
        <v>3078028.46120935</v>
      </c>
      <c r="J4" s="712">
        <v>1433402.52345991</v>
      </c>
      <c r="K4" s="712">
        <v>49.6466421043795</v>
      </c>
      <c r="L4" s="712">
        <v>75.4203783141592</v>
      </c>
      <c r="M4" s="712">
        <v>11.4464476837006</v>
      </c>
      <c r="N4" s="712">
        <v>-25.1118079523492</v>
      </c>
      <c r="O4" s="712">
        <v>-34.7512938410734</v>
      </c>
      <c r="P4" s="733"/>
      <c r="Q4" s="738"/>
      <c r="R4" s="738"/>
    </row>
    <row r="5" ht="15.6" spans="2:18">
      <c r="B5" s="710" t="s">
        <v>369</v>
      </c>
      <c r="C5" s="711" t="s">
        <v>368</v>
      </c>
      <c r="D5" s="712">
        <v>20843964.9524619</v>
      </c>
      <c r="E5" s="712">
        <v>18907788.7137724</v>
      </c>
      <c r="F5" s="712">
        <v>-1936176.23868949</v>
      </c>
      <c r="G5" s="712">
        <v>39751753.6662344</v>
      </c>
      <c r="H5" s="712">
        <v>14410769.0836675</v>
      </c>
      <c r="I5" s="712">
        <v>4497019.63010494</v>
      </c>
      <c r="J5" s="712">
        <v>2141085.51231271</v>
      </c>
      <c r="K5" s="712">
        <v>47.5646656309227</v>
      </c>
      <c r="L5" s="712">
        <v>76.2160467404138</v>
      </c>
      <c r="M5" s="712">
        <v>11.3238282102927</v>
      </c>
      <c r="N5" s="712">
        <v>64.1135120967813</v>
      </c>
      <c r="O5" s="712">
        <v>50.9883028559586</v>
      </c>
      <c r="P5" s="733"/>
      <c r="Q5" s="738"/>
      <c r="R5" s="738"/>
    </row>
    <row r="6" ht="15.6" spans="2:18">
      <c r="B6" s="710" t="s">
        <v>370</v>
      </c>
      <c r="C6" s="711" t="s">
        <v>368</v>
      </c>
      <c r="D6" s="712">
        <v>25590547.4094675</v>
      </c>
      <c r="E6" s="712">
        <v>26796754.8626317</v>
      </c>
      <c r="F6" s="712">
        <v>1206207.45316416</v>
      </c>
      <c r="G6" s="712">
        <v>52387302.2720992</v>
      </c>
      <c r="H6" s="712">
        <v>21099177.5842494</v>
      </c>
      <c r="I6" s="712">
        <v>5697577.27838233</v>
      </c>
      <c r="J6" s="712">
        <v>2557034.54636105</v>
      </c>
      <c r="K6" s="712">
        <v>51.1512402823294</v>
      </c>
      <c r="L6" s="712">
        <v>78.7378087100851</v>
      </c>
      <c r="M6" s="712">
        <v>9.54232913451343</v>
      </c>
      <c r="N6" s="712">
        <v>22.7719748513825</v>
      </c>
      <c r="O6" s="712">
        <v>41.7233673819982</v>
      </c>
      <c r="P6" s="733"/>
      <c r="Q6" s="738"/>
      <c r="R6" s="738"/>
    </row>
    <row r="7" ht="15.6" spans="2:18">
      <c r="B7" s="713" t="s">
        <v>371</v>
      </c>
      <c r="C7" s="714" t="s">
        <v>368</v>
      </c>
      <c r="D7" s="712">
        <v>30863065.5361904</v>
      </c>
      <c r="E7" s="712">
        <v>35962392.4426854</v>
      </c>
      <c r="F7" s="712">
        <v>5099326.90649506</v>
      </c>
      <c r="G7" s="712">
        <v>66825457.9788758</v>
      </c>
      <c r="H7" s="712">
        <v>29000603.5704306</v>
      </c>
      <c r="I7" s="712">
        <v>6961788.87225486</v>
      </c>
      <c r="J7" s="712">
        <v>3143854.22738258</v>
      </c>
      <c r="K7" s="712">
        <v>53.8154073767119</v>
      </c>
      <c r="L7" s="712">
        <v>80.6414746089262</v>
      </c>
      <c r="M7" s="712">
        <v>8.74206084145557</v>
      </c>
      <c r="N7" s="712">
        <v>20.6033815625695</v>
      </c>
      <c r="O7" s="712">
        <v>34.2042819253286</v>
      </c>
      <c r="P7" s="733"/>
      <c r="Q7" s="738"/>
      <c r="R7" s="738"/>
    </row>
    <row r="8" ht="15.6" spans="2:18">
      <c r="B8" s="713" t="s">
        <v>372</v>
      </c>
      <c r="C8" s="714" t="s">
        <v>368</v>
      </c>
      <c r="D8" s="714">
        <v>60590548.8426538</v>
      </c>
      <c r="E8" s="714">
        <v>77442098.9547767</v>
      </c>
      <c r="F8" s="714">
        <v>16851550.1121229</v>
      </c>
      <c r="G8" s="714">
        <v>138032647.797431</v>
      </c>
      <c r="H8" s="714">
        <v>55285398.2333881</v>
      </c>
      <c r="I8" s="714">
        <v>22156700.7213887</v>
      </c>
      <c r="J8" s="734">
        <v>9093637.24087048</v>
      </c>
      <c r="K8" s="714">
        <v>56.1041899800594</v>
      </c>
      <c r="L8" s="714">
        <v>71.3893334240239</v>
      </c>
      <c r="M8" s="734">
        <v>11.7424984131445</v>
      </c>
      <c r="N8" s="714">
        <v>96.3205786269179</v>
      </c>
      <c r="O8" s="714">
        <v>115.341899397263</v>
      </c>
      <c r="P8" s="733"/>
      <c r="Q8" s="738"/>
      <c r="R8" s="738"/>
    </row>
    <row r="9" ht="15.6" spans="2:18">
      <c r="B9" s="713" t="s">
        <v>373</v>
      </c>
      <c r="C9" s="715" t="s">
        <v>374</v>
      </c>
      <c r="D9" s="715">
        <v>15426174.7450436</v>
      </c>
      <c r="E9" s="715">
        <v>20598480.7526396</v>
      </c>
      <c r="F9" s="715">
        <v>5172306.00759603</v>
      </c>
      <c r="G9" s="715">
        <v>36024655.4976833</v>
      </c>
      <c r="H9" s="715">
        <v>12955028.2024668</v>
      </c>
      <c r="I9" s="715">
        <v>7643452.55017285</v>
      </c>
      <c r="J9" s="735">
        <v>3167875.82566716</v>
      </c>
      <c r="K9" s="715">
        <v>57.178841735112</v>
      </c>
      <c r="L9" s="736">
        <v>62.8931247796352</v>
      </c>
      <c r="M9" s="735">
        <v>15.3791722006547</v>
      </c>
      <c r="N9" s="715"/>
      <c r="O9" s="715"/>
      <c r="P9" s="733"/>
      <c r="Q9" s="738"/>
      <c r="R9" s="738"/>
    </row>
    <row r="10" ht="15.6" spans="2:18">
      <c r="B10" s="713">
        <v>2020</v>
      </c>
      <c r="C10" s="716" t="s">
        <v>375</v>
      </c>
      <c r="D10" s="712">
        <v>3576567.853432</v>
      </c>
      <c r="E10" s="712">
        <v>4109769.93739883</v>
      </c>
      <c r="F10" s="712">
        <v>533202.083966832</v>
      </c>
      <c r="G10" s="712">
        <v>7686337.79083083</v>
      </c>
      <c r="H10" s="712">
        <v>2944596.78004083</v>
      </c>
      <c r="I10" s="712">
        <v>1165173.157358</v>
      </c>
      <c r="J10" s="712">
        <v>623998.51213612</v>
      </c>
      <c r="K10" s="737">
        <v>53.4685054084072</v>
      </c>
      <c r="L10" s="737">
        <v>71.6487011412744</v>
      </c>
      <c r="M10" s="737">
        <v>15.1832954554888</v>
      </c>
      <c r="N10" s="737">
        <v>-33.1436235440348</v>
      </c>
      <c r="O10" s="737">
        <v>-13.8516069813026</v>
      </c>
      <c r="P10" s="733"/>
      <c r="Q10" s="738"/>
      <c r="R10" s="738"/>
    </row>
    <row r="11" ht="15.6" spans="2:18">
      <c r="B11" s="713"/>
      <c r="C11" s="716" t="s">
        <v>376</v>
      </c>
      <c r="D11" s="712">
        <v>2433232.077136</v>
      </c>
      <c r="E11" s="712">
        <v>2224953.15469106</v>
      </c>
      <c r="F11" s="712">
        <v>-208278.922444941</v>
      </c>
      <c r="G11" s="712">
        <v>4658185.23182706</v>
      </c>
      <c r="H11" s="712">
        <v>1553939.08414662</v>
      </c>
      <c r="I11" s="712">
        <v>671014.070544439</v>
      </c>
      <c r="J11" s="712">
        <v>352961.94961211</v>
      </c>
      <c r="K11" s="737">
        <v>47.7643769828873</v>
      </c>
      <c r="L11" s="737">
        <v>69.8414292844916</v>
      </c>
      <c r="M11" s="737">
        <v>15.8637924069516</v>
      </c>
      <c r="N11" s="737">
        <v>-31.967400679925</v>
      </c>
      <c r="O11" s="737">
        <v>-45.8618562940951</v>
      </c>
      <c r="P11" s="733"/>
      <c r="Q11" s="738"/>
      <c r="R11" s="738"/>
    </row>
    <row r="12" ht="15.6" spans="2:18">
      <c r="B12" s="717"/>
      <c r="C12" s="716" t="s">
        <v>377</v>
      </c>
      <c r="D12" s="712">
        <v>3184592.729006</v>
      </c>
      <c r="E12" s="712">
        <v>2993464.33470873</v>
      </c>
      <c r="F12" s="712">
        <v>-191128.39429727</v>
      </c>
      <c r="G12" s="712">
        <v>6178057.06371473</v>
      </c>
      <c r="H12" s="712">
        <v>2424774.04733831</v>
      </c>
      <c r="I12" s="712">
        <v>568690.28737042</v>
      </c>
      <c r="J12" s="712">
        <v>215159.25412492</v>
      </c>
      <c r="K12" s="737">
        <v>48.4531674576153</v>
      </c>
      <c r="L12" s="737">
        <v>81.0022694850061</v>
      </c>
      <c r="M12" s="737">
        <v>7.18763379373469</v>
      </c>
      <c r="N12" s="737">
        <v>30.8791199544919</v>
      </c>
      <c r="O12" s="737">
        <v>34.5405555347245</v>
      </c>
      <c r="P12" s="733"/>
      <c r="Q12" s="738"/>
      <c r="R12" s="738"/>
    </row>
    <row r="13" ht="15.6" spans="2:18">
      <c r="B13" s="713"/>
      <c r="C13" s="716" t="s">
        <v>378</v>
      </c>
      <c r="D13" s="712">
        <v>3506551.148252</v>
      </c>
      <c r="E13" s="712">
        <v>3194497.01704885</v>
      </c>
      <c r="F13" s="712">
        <v>-312054.131203148</v>
      </c>
      <c r="G13" s="712">
        <v>6701048.16530085</v>
      </c>
      <c r="H13" s="712">
        <v>2521346.07111236</v>
      </c>
      <c r="I13" s="712">
        <v>673150.945936492</v>
      </c>
      <c r="J13" s="712">
        <v>241282.807586765</v>
      </c>
      <c r="K13" s="737">
        <v>47.6716020874241</v>
      </c>
      <c r="L13" s="737">
        <v>78.9277954449817</v>
      </c>
      <c r="M13" s="737">
        <v>7.55307662830963</v>
      </c>
      <c r="N13" s="737">
        <v>10.1098773577396</v>
      </c>
      <c r="O13" s="737">
        <v>6.71571997732464</v>
      </c>
      <c r="P13" s="733"/>
      <c r="Q13" s="738"/>
      <c r="R13" s="738"/>
    </row>
    <row r="14" ht="15.6" spans="2:18">
      <c r="B14" s="713">
        <v>2021</v>
      </c>
      <c r="C14" s="716" t="s">
        <v>375</v>
      </c>
      <c r="D14" s="712">
        <v>4875187.84904092</v>
      </c>
      <c r="E14" s="712">
        <v>2984931.95463326</v>
      </c>
      <c r="F14" s="712">
        <v>-1890255.89440766</v>
      </c>
      <c r="G14" s="712">
        <v>7860119.80367418</v>
      </c>
      <c r="H14" s="712">
        <v>2042897.99291675</v>
      </c>
      <c r="I14" s="712">
        <v>942033.961716515</v>
      </c>
      <c r="J14" s="712">
        <v>367870.640293995</v>
      </c>
      <c r="K14" s="737">
        <v>37.9756546870694</v>
      </c>
      <c r="L14" s="737">
        <v>68.4403538829663</v>
      </c>
      <c r="M14" s="737">
        <v>12.3242554900784</v>
      </c>
      <c r="N14" s="737">
        <v>39.0308494850041</v>
      </c>
      <c r="O14" s="737">
        <v>-6.56018964166034</v>
      </c>
      <c r="P14" s="733"/>
      <c r="Q14" s="738"/>
      <c r="R14" s="738"/>
    </row>
    <row r="15" ht="15.6" spans="2:18">
      <c r="B15" s="713"/>
      <c r="C15" s="716" t="s">
        <v>376</v>
      </c>
      <c r="D15" s="712">
        <v>4692334.324428</v>
      </c>
      <c r="E15" s="712">
        <v>5019682.72447938</v>
      </c>
      <c r="F15" s="712">
        <v>327348.400051381</v>
      </c>
      <c r="G15" s="712">
        <v>9712017.04890738</v>
      </c>
      <c r="H15" s="712">
        <v>4072324.46915671</v>
      </c>
      <c r="I15" s="712">
        <v>947358.255322674</v>
      </c>
      <c r="J15" s="712">
        <v>409814.602829802</v>
      </c>
      <c r="K15" s="737">
        <v>51.6852750484422</v>
      </c>
      <c r="L15" s="737">
        <v>81.1271287983459</v>
      </c>
      <c r="M15" s="737">
        <v>8.16415349980722</v>
      </c>
      <c r="N15" s="737">
        <v>-3.75069700440143</v>
      </c>
      <c r="O15" s="737">
        <v>68.1674088646389</v>
      </c>
      <c r="P15" s="733"/>
      <c r="Q15" s="738"/>
      <c r="R15" s="738"/>
    </row>
    <row r="16" ht="15.6" spans="2:18">
      <c r="B16" s="713"/>
      <c r="C16" s="716" t="s">
        <v>377</v>
      </c>
      <c r="D16" s="712">
        <v>5335861.303505</v>
      </c>
      <c r="E16" s="712">
        <v>5136555.14876399</v>
      </c>
      <c r="F16" s="712">
        <v>-199306.15474101</v>
      </c>
      <c r="G16" s="712">
        <v>10472416.452269</v>
      </c>
      <c r="H16" s="712">
        <v>4026183.4374199</v>
      </c>
      <c r="I16" s="712">
        <v>1110371.71134409</v>
      </c>
      <c r="J16" s="712">
        <v>552525.180298</v>
      </c>
      <c r="K16" s="737">
        <v>49.048423276283</v>
      </c>
      <c r="L16" s="737">
        <v>78.3829496776399</v>
      </c>
      <c r="M16" s="737">
        <v>10.7567263330358</v>
      </c>
      <c r="N16" s="737">
        <v>13.714431551197</v>
      </c>
      <c r="O16" s="737">
        <v>2.32828309475937</v>
      </c>
      <c r="P16" s="733"/>
      <c r="Q16" s="738"/>
      <c r="R16" s="738"/>
    </row>
    <row r="17" ht="15.6" spans="2:18">
      <c r="B17" s="713"/>
      <c r="C17" s="716" t="s">
        <v>378</v>
      </c>
      <c r="D17" s="712">
        <v>5940581.475488</v>
      </c>
      <c r="E17" s="712">
        <v>5766618.88589579</v>
      </c>
      <c r="F17" s="712">
        <v>-173962.589592205</v>
      </c>
      <c r="G17" s="712">
        <v>11707200.3613838</v>
      </c>
      <c r="H17" s="712">
        <v>4269363.18417413</v>
      </c>
      <c r="I17" s="712">
        <v>1497255.70172166</v>
      </c>
      <c r="J17" s="712">
        <v>810875.08889091</v>
      </c>
      <c r="K17" s="737">
        <v>49.2570273668245</v>
      </c>
      <c r="L17" s="737">
        <v>74.0358131628274</v>
      </c>
      <c r="M17" s="737">
        <v>14.0615342358445</v>
      </c>
      <c r="N17" s="737">
        <v>11.3331313837894</v>
      </c>
      <c r="O17" s="737">
        <v>12.2662702703273</v>
      </c>
      <c r="P17" s="733"/>
      <c r="Q17" s="738"/>
      <c r="R17" s="738"/>
    </row>
    <row r="18" ht="15.6" spans="2:18">
      <c r="B18" s="713">
        <v>2022</v>
      </c>
      <c r="C18" s="716" t="s">
        <v>375</v>
      </c>
      <c r="D18" s="712">
        <v>7495673.51955154</v>
      </c>
      <c r="E18" s="712">
        <v>7102113.62678066</v>
      </c>
      <c r="F18" s="712">
        <v>-393559.892770882</v>
      </c>
      <c r="G18" s="712">
        <v>14597787.1463322</v>
      </c>
      <c r="H18" s="712">
        <v>5620992.17313027</v>
      </c>
      <c r="I18" s="712">
        <v>1481121.45365038</v>
      </c>
      <c r="J18" s="712">
        <v>716849.419031214</v>
      </c>
      <c r="K18" s="712">
        <v>48.6519878361503</v>
      </c>
      <c r="L18" s="712">
        <v>79.1453427601416</v>
      </c>
      <c r="M18" s="712">
        <v>10.0934659272152</v>
      </c>
      <c r="N18" s="737">
        <v>26.1774381932165</v>
      </c>
      <c r="O18" s="737">
        <v>23.1590602276711</v>
      </c>
      <c r="P18" s="733"/>
      <c r="Q18" s="738"/>
      <c r="R18" s="738"/>
    </row>
    <row r="19" ht="15.6" spans="2:18">
      <c r="B19" s="713"/>
      <c r="C19" s="716" t="s">
        <v>376</v>
      </c>
      <c r="D19" s="712">
        <v>6388514.16783222</v>
      </c>
      <c r="E19" s="712">
        <v>7400886.82372143</v>
      </c>
      <c r="F19" s="712">
        <v>1012372.65588922</v>
      </c>
      <c r="G19" s="712">
        <v>13789400.9915536</v>
      </c>
      <c r="H19" s="712">
        <v>5907967.62373551</v>
      </c>
      <c r="I19" s="712">
        <v>1492919.19998592</v>
      </c>
      <c r="J19" s="712">
        <v>669435.232923143</v>
      </c>
      <c r="K19" s="712">
        <v>53.6708362332393</v>
      </c>
      <c r="L19" s="712">
        <v>79.8278336698678</v>
      </c>
      <c r="M19" s="712">
        <v>9.04533806377715</v>
      </c>
      <c r="N19" s="737">
        <v>-14.7706453440299</v>
      </c>
      <c r="O19" s="737">
        <v>4.20682085138935</v>
      </c>
      <c r="P19" s="733"/>
      <c r="Q19" s="738"/>
      <c r="R19" s="738"/>
    </row>
    <row r="20" ht="15.6" spans="2:18">
      <c r="B20" s="713"/>
      <c r="C20" s="716" t="s">
        <v>377</v>
      </c>
      <c r="D20" s="712">
        <v>6343531.77655599</v>
      </c>
      <c r="E20" s="712">
        <v>5934146.08026454</v>
      </c>
      <c r="F20" s="712">
        <v>-409385.696291455</v>
      </c>
      <c r="G20" s="712">
        <v>12277677.8568205</v>
      </c>
      <c r="H20" s="712">
        <v>4658301.22943219</v>
      </c>
      <c r="I20" s="712">
        <v>1275844.85083235</v>
      </c>
      <c r="J20" s="712">
        <v>438511.670458738</v>
      </c>
      <c r="K20" s="712">
        <v>48.3328048631605</v>
      </c>
      <c r="L20" s="712">
        <v>78.4999419701601</v>
      </c>
      <c r="M20" s="712">
        <v>7.38963390060647</v>
      </c>
      <c r="N20" s="737">
        <v>-0.704113508939563</v>
      </c>
      <c r="O20" s="737">
        <v>-19.8184457943023</v>
      </c>
      <c r="P20" s="733"/>
      <c r="Q20" s="738"/>
      <c r="R20" s="738"/>
    </row>
    <row r="21" ht="15.6" spans="2:18">
      <c r="B21" s="718"/>
      <c r="C21" s="716" t="s">
        <v>378</v>
      </c>
      <c r="D21" s="712">
        <v>5362827.94552778</v>
      </c>
      <c r="E21" s="712">
        <v>6359608.33186506</v>
      </c>
      <c r="F21" s="712">
        <v>996780.386337279</v>
      </c>
      <c r="G21" s="712">
        <v>11722436.2773928</v>
      </c>
      <c r="H21" s="712">
        <v>4911916.55795139</v>
      </c>
      <c r="I21" s="712">
        <v>1447691.77391367</v>
      </c>
      <c r="J21" s="712">
        <v>732238.223947953</v>
      </c>
      <c r="K21" s="712">
        <v>54.2515922575737</v>
      </c>
      <c r="L21" s="712">
        <v>77.2361488574704</v>
      </c>
      <c r="M21" s="712">
        <v>11.5138886820914</v>
      </c>
      <c r="N21" s="737">
        <v>-15.4599025522758</v>
      </c>
      <c r="O21" s="737">
        <v>7.16972999730335</v>
      </c>
      <c r="P21" s="733"/>
      <c r="Q21" s="738"/>
      <c r="R21" s="738"/>
    </row>
    <row r="22" ht="15.6" spans="2:18">
      <c r="B22" s="713">
        <v>2023</v>
      </c>
      <c r="C22" s="714" t="s">
        <v>375</v>
      </c>
      <c r="D22" s="714">
        <v>6466102.38467316</v>
      </c>
      <c r="E22" s="714">
        <v>6487038.88175545</v>
      </c>
      <c r="F22" s="714">
        <v>20936.4970822884</v>
      </c>
      <c r="G22" s="714">
        <v>12953141.2664286</v>
      </c>
      <c r="H22" s="714">
        <v>5148579.67023036</v>
      </c>
      <c r="I22" s="714">
        <v>1338459.21152509</v>
      </c>
      <c r="J22" s="714">
        <v>663773.850214841</v>
      </c>
      <c r="K22" s="714">
        <v>50.0808162925566</v>
      </c>
      <c r="L22" s="714">
        <v>79.3671775994829</v>
      </c>
      <c r="M22" s="714">
        <v>10.2323087978042</v>
      </c>
      <c r="N22" s="714">
        <v>20.572624189173</v>
      </c>
      <c r="O22" s="714">
        <v>2.00374839519426</v>
      </c>
      <c r="P22" s="733"/>
      <c r="Q22" s="738"/>
      <c r="R22" s="738"/>
    </row>
    <row r="23" ht="15.6" spans="2:18">
      <c r="B23" s="718"/>
      <c r="C23" s="714" t="s">
        <v>376</v>
      </c>
      <c r="D23" s="714">
        <v>6301948.75570786</v>
      </c>
      <c r="E23" s="714">
        <v>6435130.20706622</v>
      </c>
      <c r="F23" s="714">
        <v>133181.451358368</v>
      </c>
      <c r="G23" s="714">
        <v>12737078.9627741</v>
      </c>
      <c r="H23" s="714">
        <v>5005707.77217629</v>
      </c>
      <c r="I23" s="714">
        <v>1429422.43488993</v>
      </c>
      <c r="J23" s="714">
        <v>701627.538471066</v>
      </c>
      <c r="K23" s="714">
        <v>50.5228100247616</v>
      </c>
      <c r="L23" s="714">
        <v>77.7872026067114</v>
      </c>
      <c r="M23" s="714">
        <v>10.9030822360149</v>
      </c>
      <c r="N23" s="714">
        <v>-2.53867970532612</v>
      </c>
      <c r="O23" s="714">
        <v>-0.8001905898116</v>
      </c>
      <c r="P23" s="733"/>
      <c r="Q23" s="738"/>
      <c r="R23" s="738"/>
    </row>
    <row r="24" ht="15.6" spans="2:18">
      <c r="B24" s="718"/>
      <c r="C24" s="714" t="s">
        <v>377</v>
      </c>
      <c r="D24" s="714">
        <v>9041237.09940702</v>
      </c>
      <c r="E24" s="714">
        <v>10346603.8505882</v>
      </c>
      <c r="F24" s="714">
        <v>1305366.75118114</v>
      </c>
      <c r="G24" s="714">
        <v>19387840.9499952</v>
      </c>
      <c r="H24" s="714">
        <v>8535612.1947161</v>
      </c>
      <c r="I24" s="714">
        <v>1810991.65587205</v>
      </c>
      <c r="J24" s="714">
        <v>683022.485225693</v>
      </c>
      <c r="K24" s="714">
        <v>53.3664572412883</v>
      </c>
      <c r="L24" s="714">
        <v>82.4967527313892</v>
      </c>
      <c r="M24" s="714">
        <v>6.6014171905003</v>
      </c>
      <c r="N24" s="714">
        <v>43.4673217743656</v>
      </c>
      <c r="O24" s="714">
        <v>60.7831313067583</v>
      </c>
      <c r="P24" s="733"/>
      <c r="Q24" s="738"/>
      <c r="R24" s="738"/>
    </row>
    <row r="25" ht="15" spans="2:18">
      <c r="B25" s="719"/>
      <c r="C25" s="714" t="s">
        <v>378</v>
      </c>
      <c r="D25" s="714">
        <v>9053777.29640233</v>
      </c>
      <c r="E25" s="714">
        <v>12693619.5032756</v>
      </c>
      <c r="F25" s="714">
        <v>3639842.20687326</v>
      </c>
      <c r="G25" s="714">
        <v>21747396.7996779</v>
      </c>
      <c r="H25" s="714">
        <v>10310703.9333078</v>
      </c>
      <c r="I25" s="714">
        <v>2382915.56996777</v>
      </c>
      <c r="J25" s="714">
        <v>1095430.35347098</v>
      </c>
      <c r="K25" s="714">
        <v>58.368454947507</v>
      </c>
      <c r="L25" s="714">
        <v>81.2274539239745</v>
      </c>
      <c r="M25" s="714">
        <v>8.62977146264943</v>
      </c>
      <c r="N25" s="714">
        <v>0.138700012591562</v>
      </c>
      <c r="O25" s="714">
        <v>22.6839230203447</v>
      </c>
      <c r="P25" s="738"/>
      <c r="Q25" s="738"/>
      <c r="R25" s="738"/>
    </row>
    <row r="26" ht="15.6" spans="2:18">
      <c r="B26" s="713">
        <v>2024</v>
      </c>
      <c r="C26" s="714" t="s">
        <v>375</v>
      </c>
      <c r="D26" s="714">
        <v>14749524.1494957</v>
      </c>
      <c r="E26" s="714">
        <v>19176193.8038042</v>
      </c>
      <c r="F26" s="714">
        <v>4426669.65430859</v>
      </c>
      <c r="G26" s="714">
        <v>33925717.9532999</v>
      </c>
      <c r="H26" s="714">
        <v>15486632.656195</v>
      </c>
      <c r="I26" s="714">
        <v>3689561.14760921</v>
      </c>
      <c r="J26" s="734">
        <v>1778848.25169723</v>
      </c>
      <c r="K26" s="714">
        <v>56.5240618642206</v>
      </c>
      <c r="L26" s="714">
        <v>80.7596794997073</v>
      </c>
      <c r="M26" s="734">
        <v>9.27633642993498</v>
      </c>
      <c r="N26" s="714">
        <v>62.9101718169788</v>
      </c>
      <c r="O26" s="714">
        <v>51.0695495390879</v>
      </c>
      <c r="P26" s="733"/>
      <c r="Q26" s="733"/>
      <c r="R26" s="738"/>
    </row>
    <row r="27" ht="15.6" spans="2:18">
      <c r="B27" s="718"/>
      <c r="C27" s="714" t="s">
        <v>376</v>
      </c>
      <c r="D27" s="714">
        <v>13969341.3237608</v>
      </c>
      <c r="E27" s="714">
        <v>17714407.2306695</v>
      </c>
      <c r="F27" s="714">
        <v>3745065.90690874</v>
      </c>
      <c r="G27" s="714">
        <v>31683748.5544303</v>
      </c>
      <c r="H27" s="714">
        <v>12609394.8565594</v>
      </c>
      <c r="I27" s="714">
        <v>5105012.3741101</v>
      </c>
      <c r="J27" s="734">
        <v>1962006.08019181</v>
      </c>
      <c r="K27" s="714">
        <v>55.9100738987292</v>
      </c>
      <c r="L27" s="714">
        <v>71.1815794475379</v>
      </c>
      <c r="M27" s="734">
        <v>11.0757647977908</v>
      </c>
      <c r="N27" s="714">
        <v>-5.28954573603361</v>
      </c>
      <c r="O27" s="714">
        <v>-7.62292344398785</v>
      </c>
      <c r="P27" s="733"/>
      <c r="Q27" s="733"/>
      <c r="R27" s="738"/>
    </row>
    <row r="28" ht="15.6" spans="2:18">
      <c r="B28" s="718"/>
      <c r="C28" s="714" t="s">
        <v>377</v>
      </c>
      <c r="D28" s="714">
        <v>15281177.8368816</v>
      </c>
      <c r="E28" s="714">
        <v>20537168.8006048</v>
      </c>
      <c r="F28" s="714">
        <v>5255990.96372321</v>
      </c>
      <c r="G28" s="714">
        <v>35818346.6374864</v>
      </c>
      <c r="H28" s="714">
        <v>13406367.2241056</v>
      </c>
      <c r="I28" s="714">
        <v>7130801.57649921</v>
      </c>
      <c r="J28" s="734">
        <v>2510260.04771403</v>
      </c>
      <c r="K28" s="714">
        <v>57.3370094618249</v>
      </c>
      <c r="L28" s="714">
        <v>65.2785559405383</v>
      </c>
      <c r="M28" s="734">
        <v>12.223009276917</v>
      </c>
      <c r="N28" s="714">
        <v>9.39082582862733</v>
      </c>
      <c r="O28" s="714">
        <v>15.9348350366936</v>
      </c>
      <c r="P28" s="733"/>
      <c r="Q28" s="733"/>
      <c r="R28" s="738"/>
    </row>
    <row r="29" ht="15.6" spans="2:18">
      <c r="B29" s="718"/>
      <c r="C29" s="714" t="s">
        <v>378</v>
      </c>
      <c r="D29" s="714">
        <v>16590505.5325158</v>
      </c>
      <c r="E29" s="714">
        <v>20014329.1196982</v>
      </c>
      <c r="F29" s="714">
        <v>3423823.58718241</v>
      </c>
      <c r="G29" s="714">
        <v>36604834.652214</v>
      </c>
      <c r="H29" s="714">
        <v>13783003.496528</v>
      </c>
      <c r="I29" s="714">
        <v>6231325.62317015</v>
      </c>
      <c r="J29" s="734">
        <v>2842522.86126742</v>
      </c>
      <c r="K29" s="714">
        <v>54.6767368569104</v>
      </c>
      <c r="L29" s="714">
        <v>68.8656782552993</v>
      </c>
      <c r="M29" s="734">
        <v>14.2024388839983</v>
      </c>
      <c r="N29" s="714">
        <v>8.56823806129718</v>
      </c>
      <c r="O29" s="714">
        <v>-2.54582160755868</v>
      </c>
      <c r="P29" s="733"/>
      <c r="Q29" s="733"/>
      <c r="R29" s="738"/>
    </row>
    <row r="30" ht="15.6" spans="2:18">
      <c r="B30" s="720">
        <v>2025</v>
      </c>
      <c r="C30" s="715" t="s">
        <v>375</v>
      </c>
      <c r="D30" s="715">
        <v>15426174.7450436</v>
      </c>
      <c r="E30" s="715">
        <v>20598480.7526396</v>
      </c>
      <c r="F30" s="715">
        <v>5172306.00759603</v>
      </c>
      <c r="G30" s="715">
        <v>36024655.4976833</v>
      </c>
      <c r="H30" s="715">
        <v>12955028.2024668</v>
      </c>
      <c r="I30" s="715">
        <v>7643452.55017285</v>
      </c>
      <c r="J30" s="735">
        <v>3167875.82566716</v>
      </c>
      <c r="K30" s="715">
        <v>57.178841735112</v>
      </c>
      <c r="L30" s="715">
        <v>62.8931247796352</v>
      </c>
      <c r="M30" s="735">
        <v>15.3791722006547</v>
      </c>
      <c r="N30" s="715">
        <v>-7.01805490610395</v>
      </c>
      <c r="O30" s="715">
        <v>2.91866706821823</v>
      </c>
      <c r="P30" s="733"/>
      <c r="Q30" s="733"/>
      <c r="R30" s="738"/>
    </row>
    <row r="31" ht="15.6" spans="2:18">
      <c r="B31" s="713">
        <v>2020</v>
      </c>
      <c r="C31" s="721" t="s">
        <v>379</v>
      </c>
      <c r="D31" s="712">
        <v>1243317.892853</v>
      </c>
      <c r="E31" s="712">
        <v>1706683.58619165</v>
      </c>
      <c r="F31" s="712">
        <v>463365.693338651</v>
      </c>
      <c r="G31" s="712">
        <v>2950001.47904465</v>
      </c>
      <c r="H31" s="712">
        <v>1224559.9537474</v>
      </c>
      <c r="I31" s="712">
        <v>482123.632444251</v>
      </c>
      <c r="J31" s="712">
        <v>278021.72091524</v>
      </c>
      <c r="K31" s="737">
        <v>57.8536518817053</v>
      </c>
      <c r="L31" s="737">
        <v>71.750848467461</v>
      </c>
      <c r="M31" s="737">
        <v>16.2901737126111</v>
      </c>
      <c r="N31" s="737">
        <v>-10.9593068195779</v>
      </c>
      <c r="O31" s="737">
        <v>-2.97602812442588</v>
      </c>
      <c r="P31" s="733"/>
      <c r="Q31" s="738"/>
      <c r="R31" s="738"/>
    </row>
    <row r="32" spans="2:18">
      <c r="B32" s="722"/>
      <c r="C32" s="721" t="s">
        <v>380</v>
      </c>
      <c r="D32" s="712">
        <v>1104347.303325</v>
      </c>
      <c r="E32" s="712">
        <v>1438825.13027364</v>
      </c>
      <c r="F32" s="712">
        <v>334477.82694864</v>
      </c>
      <c r="G32" s="712">
        <v>2543172.43359864</v>
      </c>
      <c r="H32" s="712">
        <v>1057258.59921976</v>
      </c>
      <c r="I32" s="712">
        <v>381566.53105388</v>
      </c>
      <c r="J32" s="712">
        <v>220017.89697758</v>
      </c>
      <c r="K32" s="737">
        <v>56.5759958414488</v>
      </c>
      <c r="L32" s="737">
        <v>73.4806876092502</v>
      </c>
      <c r="M32" s="737">
        <v>15.2914966765792</v>
      </c>
      <c r="N32" s="737">
        <v>-11.1773980191911</v>
      </c>
      <c r="O32" s="737">
        <v>-15.6946758078174</v>
      </c>
      <c r="P32" s="733"/>
      <c r="Q32" s="738"/>
      <c r="R32" s="738"/>
    </row>
    <row r="33" spans="2:18">
      <c r="B33" s="722"/>
      <c r="C33" s="721" t="s">
        <v>381</v>
      </c>
      <c r="D33" s="712">
        <v>1228902.657254</v>
      </c>
      <c r="E33" s="712">
        <v>964261.22093354</v>
      </c>
      <c r="F33" s="712">
        <v>-264641.43632046</v>
      </c>
      <c r="G33" s="712">
        <v>2193163.87818754</v>
      </c>
      <c r="H33" s="712">
        <v>662778.22707367</v>
      </c>
      <c r="I33" s="712">
        <v>301482.99385987</v>
      </c>
      <c r="J33" s="712">
        <v>125958.8942433</v>
      </c>
      <c r="K33" s="737">
        <v>43.9666743795917</v>
      </c>
      <c r="L33" s="737">
        <v>68.7343027682901</v>
      </c>
      <c r="M33" s="737">
        <v>13.0627356476447</v>
      </c>
      <c r="N33" s="737">
        <v>11.278639749831</v>
      </c>
      <c r="O33" s="737">
        <v>-32.9827370508775</v>
      </c>
      <c r="P33" s="733"/>
      <c r="Q33" s="738"/>
      <c r="R33" s="738"/>
    </row>
    <row r="34" spans="2:18">
      <c r="B34" s="723"/>
      <c r="C34" s="721" t="s">
        <v>382</v>
      </c>
      <c r="D34" s="712">
        <v>735170.936763</v>
      </c>
      <c r="E34" s="712">
        <v>686158.33267918</v>
      </c>
      <c r="F34" s="712">
        <v>-49012.6040838199</v>
      </c>
      <c r="G34" s="712">
        <v>1421329.26944218</v>
      </c>
      <c r="H34" s="712">
        <v>415842.40359942</v>
      </c>
      <c r="I34" s="712">
        <v>270315.92907976</v>
      </c>
      <c r="J34" s="712">
        <v>159615.60749805</v>
      </c>
      <c r="K34" s="737">
        <v>48.2758180972712</v>
      </c>
      <c r="L34" s="737">
        <v>60.6044383336012</v>
      </c>
      <c r="M34" s="737">
        <v>23.2622122178147</v>
      </c>
      <c r="N34" s="737">
        <v>-40.1766338103825</v>
      </c>
      <c r="O34" s="737">
        <v>-28.8410320996957</v>
      </c>
      <c r="P34" s="733"/>
      <c r="Q34" s="738"/>
      <c r="R34" s="738"/>
    </row>
    <row r="35" spans="2:18">
      <c r="B35" s="723"/>
      <c r="C35" s="721" t="s">
        <v>383</v>
      </c>
      <c r="D35" s="712">
        <v>749205.79949</v>
      </c>
      <c r="E35" s="712">
        <v>752669.547533699</v>
      </c>
      <c r="F35" s="712">
        <v>3463.74804369896</v>
      </c>
      <c r="G35" s="712">
        <v>1501875.3470237</v>
      </c>
      <c r="H35" s="712">
        <v>514825.43651724</v>
      </c>
      <c r="I35" s="712">
        <v>237844.111016459</v>
      </c>
      <c r="J35" s="712">
        <v>115116.69269691</v>
      </c>
      <c r="K35" s="737">
        <v>50.1153140988219</v>
      </c>
      <c r="L35" s="737">
        <v>68.3999290530869</v>
      </c>
      <c r="M35" s="737">
        <v>15.2944533326899</v>
      </c>
      <c r="N35" s="737">
        <v>1.90906114825436</v>
      </c>
      <c r="O35" s="737">
        <v>9.6932751067554</v>
      </c>
      <c r="P35" s="733"/>
      <c r="Q35" s="738"/>
      <c r="R35" s="738"/>
    </row>
    <row r="36" spans="2:18">
      <c r="B36" s="723"/>
      <c r="C36" s="721" t="s">
        <v>384</v>
      </c>
      <c r="D36" s="712">
        <v>948855.340883</v>
      </c>
      <c r="E36" s="712">
        <v>786125.274478179</v>
      </c>
      <c r="F36" s="712">
        <v>-162730.066404821</v>
      </c>
      <c r="G36" s="712">
        <v>1734980.61536118</v>
      </c>
      <c r="H36" s="712">
        <v>623271.24402996</v>
      </c>
      <c r="I36" s="712">
        <v>162854.030448219</v>
      </c>
      <c r="J36" s="712">
        <v>78229.64941715</v>
      </c>
      <c r="K36" s="737">
        <v>45.3103203296901</v>
      </c>
      <c r="L36" s="737">
        <v>79.2839594737213</v>
      </c>
      <c r="M36" s="737">
        <v>9.95129554498524</v>
      </c>
      <c r="N36" s="737">
        <v>26.6481574927618</v>
      </c>
      <c r="O36" s="737">
        <v>4.44494227966385</v>
      </c>
      <c r="P36" s="733"/>
      <c r="Q36" s="738"/>
      <c r="R36" s="738"/>
    </row>
    <row r="37" spans="2:18">
      <c r="B37" s="723"/>
      <c r="C37" s="721" t="s">
        <v>385</v>
      </c>
      <c r="D37" s="712">
        <v>1010882.241735</v>
      </c>
      <c r="E37" s="712">
        <v>1104890.18472799</v>
      </c>
      <c r="F37" s="712">
        <v>94007.942992991</v>
      </c>
      <c r="G37" s="712">
        <v>2115772.42646299</v>
      </c>
      <c r="H37" s="712">
        <v>876896.45132825</v>
      </c>
      <c r="I37" s="712">
        <v>227993.733399741</v>
      </c>
      <c r="J37" s="712">
        <v>110488.30645929</v>
      </c>
      <c r="K37" s="737">
        <v>52.2215986421126</v>
      </c>
      <c r="L37" s="737">
        <v>79.3650322402068</v>
      </c>
      <c r="M37" s="737">
        <v>9.99993555798405</v>
      </c>
      <c r="N37" s="737">
        <v>6.5370239465879</v>
      </c>
      <c r="O37" s="737">
        <v>40.5488693212929</v>
      </c>
      <c r="P37" s="733"/>
      <c r="Q37" s="738"/>
      <c r="R37" s="738"/>
    </row>
    <row r="38" spans="2:18">
      <c r="B38" s="723"/>
      <c r="C38" s="721" t="s">
        <v>386</v>
      </c>
      <c r="D38" s="712">
        <v>1126294.634334</v>
      </c>
      <c r="E38" s="712">
        <v>992111.02440077</v>
      </c>
      <c r="F38" s="712">
        <v>-134183.60993323</v>
      </c>
      <c r="G38" s="712">
        <v>2118405.65873477</v>
      </c>
      <c r="H38" s="712">
        <v>806258.58200081</v>
      </c>
      <c r="I38" s="712">
        <v>185852.44239996</v>
      </c>
      <c r="J38" s="712">
        <v>62926.71227362</v>
      </c>
      <c r="K38" s="737">
        <v>46.8329104159075</v>
      </c>
      <c r="L38" s="737">
        <v>81.266971354117</v>
      </c>
      <c r="M38" s="737">
        <v>6.34270870154148</v>
      </c>
      <c r="N38" s="737">
        <v>11.4169967414716</v>
      </c>
      <c r="O38" s="737">
        <v>-10.2072732553947</v>
      </c>
      <c r="P38" s="733"/>
      <c r="Q38" s="738"/>
      <c r="R38" s="738"/>
    </row>
    <row r="39" spans="2:18">
      <c r="B39" s="723"/>
      <c r="C39" s="721" t="s">
        <v>387</v>
      </c>
      <c r="D39" s="712">
        <v>1047415.852937</v>
      </c>
      <c r="E39" s="712">
        <v>896463.12557997</v>
      </c>
      <c r="F39" s="712">
        <v>-150952.72735703</v>
      </c>
      <c r="G39" s="712">
        <v>1943878.97851697</v>
      </c>
      <c r="H39" s="712">
        <v>741619.01400925</v>
      </c>
      <c r="I39" s="712">
        <v>154844.11157072</v>
      </c>
      <c r="J39" s="712">
        <v>41744.23539201</v>
      </c>
      <c r="K39" s="737">
        <v>46.1172292867688</v>
      </c>
      <c r="L39" s="737">
        <v>92.4823070826466</v>
      </c>
      <c r="M39" s="737">
        <v>4.65654796063178</v>
      </c>
      <c r="N39" s="737">
        <v>-7.00338783409393</v>
      </c>
      <c r="O39" s="737">
        <v>-9.64084628316381</v>
      </c>
      <c r="P39" s="733"/>
      <c r="Q39" s="738"/>
      <c r="R39" s="738"/>
    </row>
    <row r="40" spans="2:18">
      <c r="B40" s="723"/>
      <c r="C40" s="724" t="s">
        <v>388</v>
      </c>
      <c r="D40" s="725">
        <v>1185140.948853</v>
      </c>
      <c r="E40" s="725">
        <v>998403.397730406</v>
      </c>
      <c r="F40" s="712">
        <v>-186737.551122594</v>
      </c>
      <c r="G40" s="712">
        <v>2183544.34658341</v>
      </c>
      <c r="H40" s="725">
        <v>829069.78068156</v>
      </c>
      <c r="I40" s="712">
        <v>169333.617048846</v>
      </c>
      <c r="J40" s="712">
        <v>37913.733508976</v>
      </c>
      <c r="K40" s="737">
        <v>45.7239807972121</v>
      </c>
      <c r="L40" s="737">
        <v>81.3753452876753</v>
      </c>
      <c r="M40" s="737">
        <v>3.79743634638688</v>
      </c>
      <c r="N40" s="737">
        <v>13.1490367965897</v>
      </c>
      <c r="O40" s="737">
        <v>11.3713848614225</v>
      </c>
      <c r="P40" s="733"/>
      <c r="Q40" s="738"/>
      <c r="R40" s="738"/>
    </row>
    <row r="41" spans="2:18">
      <c r="B41" s="723"/>
      <c r="C41" s="724" t="s">
        <v>389</v>
      </c>
      <c r="D41" s="725">
        <v>1339819.707534</v>
      </c>
      <c r="E41" s="725">
        <v>1025050.16898781</v>
      </c>
      <c r="F41" s="712">
        <v>-314769.538546194</v>
      </c>
      <c r="G41" s="712">
        <v>2364869.87652181</v>
      </c>
      <c r="H41" s="725">
        <v>812454.212267</v>
      </c>
      <c r="I41" s="712">
        <v>212595.956720806</v>
      </c>
      <c r="J41" s="712">
        <v>75657.406873448</v>
      </c>
      <c r="K41" s="737">
        <v>43.3448867172102</v>
      </c>
      <c r="L41" s="737">
        <v>85.8320992261859</v>
      </c>
      <c r="M41" s="737">
        <v>7.3808491684028</v>
      </c>
      <c r="N41" s="737">
        <v>13.0515074034612</v>
      </c>
      <c r="O41" s="737">
        <v>2.66893835878104</v>
      </c>
      <c r="P41" s="733"/>
      <c r="Q41" s="738"/>
      <c r="R41" s="738"/>
    </row>
    <row r="42" spans="2:18">
      <c r="B42" s="723"/>
      <c r="C42" s="724" t="s">
        <v>390</v>
      </c>
      <c r="D42" s="725">
        <v>981590.491865</v>
      </c>
      <c r="E42" s="725">
        <v>1171043.45033064</v>
      </c>
      <c r="F42" s="712">
        <v>189452.958465641</v>
      </c>
      <c r="G42" s="712">
        <v>2152633.94219564</v>
      </c>
      <c r="H42" s="725">
        <v>879822.0781638</v>
      </c>
      <c r="I42" s="712">
        <v>291221.372166841</v>
      </c>
      <c r="J42" s="712">
        <v>127711.667204341</v>
      </c>
      <c r="K42" s="737">
        <v>54.4004917592353</v>
      </c>
      <c r="L42" s="737">
        <v>215.307644682225</v>
      </c>
      <c r="M42" s="737">
        <v>10.9058009050204</v>
      </c>
      <c r="N42" s="737">
        <v>-26.7371209465442</v>
      </c>
      <c r="O42" s="737">
        <v>14.2425498536328</v>
      </c>
      <c r="P42" s="733"/>
      <c r="Q42" s="738"/>
      <c r="R42" s="738"/>
    </row>
    <row r="43" spans="2:16">
      <c r="B43" s="710">
        <v>2021</v>
      </c>
      <c r="C43" s="721" t="s">
        <v>379</v>
      </c>
      <c r="D43" s="712">
        <v>1315216.672655</v>
      </c>
      <c r="E43" s="712">
        <v>895199.007440075</v>
      </c>
      <c r="F43" s="712">
        <v>-420017.665214925</v>
      </c>
      <c r="G43" s="712">
        <v>2210415.68009507</v>
      </c>
      <c r="H43" s="712">
        <v>631898.65578822</v>
      </c>
      <c r="I43" s="712">
        <v>263300.351651855</v>
      </c>
      <c r="J43" s="712">
        <v>107990.905518745</v>
      </c>
      <c r="K43" s="737">
        <v>40.4991249157973</v>
      </c>
      <c r="L43" s="737">
        <v>70.5875063015549</v>
      </c>
      <c r="M43" s="737">
        <v>12.0633406227245</v>
      </c>
      <c r="N43" s="737">
        <v>33.9883264513002</v>
      </c>
      <c r="O43" s="737">
        <v>-23.5554404759859</v>
      </c>
      <c r="P43" s="733"/>
    </row>
    <row r="44" spans="2:16">
      <c r="B44" s="723"/>
      <c r="C44" s="721" t="s">
        <v>380</v>
      </c>
      <c r="D44" s="712">
        <v>1582037.53820555</v>
      </c>
      <c r="E44" s="712">
        <v>984812.72960036</v>
      </c>
      <c r="F44" s="712">
        <v>-597224.80860519</v>
      </c>
      <c r="G44" s="712">
        <v>2566850.26780591</v>
      </c>
      <c r="H44" s="712">
        <v>694808.12026748</v>
      </c>
      <c r="I44" s="712">
        <v>290004.60933288</v>
      </c>
      <c r="J44" s="712">
        <v>79845.87129253</v>
      </c>
      <c r="K44" s="737">
        <v>38.3665826539293</v>
      </c>
      <c r="L44" s="737">
        <v>70.5523090211715</v>
      </c>
      <c r="M44" s="737">
        <v>8.1077212847291</v>
      </c>
      <c r="N44" s="737">
        <v>20.2872173914831</v>
      </c>
      <c r="O44" s="737">
        <v>10.0104805094172</v>
      </c>
      <c r="P44" s="733"/>
    </row>
    <row r="45" spans="2:16">
      <c r="B45" s="723"/>
      <c r="C45" s="721" t="s">
        <v>381</v>
      </c>
      <c r="D45" s="712">
        <v>1977933.63818037</v>
      </c>
      <c r="E45" s="712">
        <v>1104920.21759283</v>
      </c>
      <c r="F45" s="712">
        <v>-873013.42058754</v>
      </c>
      <c r="G45" s="712">
        <v>3082853.8557732</v>
      </c>
      <c r="H45" s="712">
        <v>716191.21686105</v>
      </c>
      <c r="I45" s="712">
        <v>388729.00073178</v>
      </c>
      <c r="J45" s="712">
        <v>180033.86348272</v>
      </c>
      <c r="K45" s="737">
        <v>35.8408237718978</v>
      </c>
      <c r="L45" s="737">
        <v>64.8183647522839</v>
      </c>
      <c r="M45" s="737">
        <v>16.2938337643002</v>
      </c>
      <c r="N45" s="737">
        <v>25.0244441370128</v>
      </c>
      <c r="O45" s="737">
        <v>12.1959723287909</v>
      </c>
      <c r="P45" s="733"/>
    </row>
    <row r="46" spans="2:16">
      <c r="B46" s="723"/>
      <c r="C46" s="721" t="s">
        <v>382</v>
      </c>
      <c r="D46" s="712">
        <v>1311391.773233</v>
      </c>
      <c r="E46" s="712">
        <v>1651887.73503464</v>
      </c>
      <c r="F46" s="712">
        <v>340495.961801635</v>
      </c>
      <c r="G46" s="712">
        <v>2963279.50826764</v>
      </c>
      <c r="H46" s="712">
        <v>1341688.5626138</v>
      </c>
      <c r="I46" s="712">
        <v>310199.172420835</v>
      </c>
      <c r="J46" s="712">
        <v>135976.230845035</v>
      </c>
      <c r="K46" s="737">
        <v>55.7452555665377</v>
      </c>
      <c r="L46" s="737">
        <v>81.221534257936</v>
      </c>
      <c r="M46" s="737">
        <v>8.23156610229229</v>
      </c>
      <c r="N46" s="737">
        <v>-33.6988992998049</v>
      </c>
      <c r="O46" s="737">
        <v>49.5028970176167</v>
      </c>
      <c r="P46" s="733"/>
    </row>
    <row r="47" spans="2:16">
      <c r="B47" s="723"/>
      <c r="C47" s="721" t="s">
        <v>383</v>
      </c>
      <c r="D47" s="712">
        <v>1475773.156539</v>
      </c>
      <c r="E47" s="712">
        <v>1575938.35339888</v>
      </c>
      <c r="F47" s="712">
        <v>100165.196859878</v>
      </c>
      <c r="G47" s="712">
        <v>3051711.50993788</v>
      </c>
      <c r="H47" s="712">
        <v>1307029.46048911</v>
      </c>
      <c r="I47" s="712">
        <v>268908.892909772</v>
      </c>
      <c r="J47" s="712">
        <v>140941.2894653</v>
      </c>
      <c r="K47" s="737">
        <v>51.6411314852943</v>
      </c>
      <c r="L47" s="737">
        <v>82.936585537765</v>
      </c>
      <c r="M47" s="737">
        <v>8.94332504576256</v>
      </c>
      <c r="N47" s="737">
        <v>12.5348798628458</v>
      </c>
      <c r="O47" s="737">
        <v>-4.59773264399015</v>
      </c>
      <c r="P47" s="733"/>
    </row>
    <row r="48" spans="2:16">
      <c r="B48" s="723"/>
      <c r="C48" s="721" t="s">
        <v>384</v>
      </c>
      <c r="D48" s="712">
        <v>1905169.394656</v>
      </c>
      <c r="E48" s="712">
        <v>1791856.63604587</v>
      </c>
      <c r="F48" s="712">
        <v>-113312.758610133</v>
      </c>
      <c r="G48" s="712">
        <v>3697026.03070187</v>
      </c>
      <c r="H48" s="712">
        <v>1423606.4460538</v>
      </c>
      <c r="I48" s="712">
        <v>368250.189992067</v>
      </c>
      <c r="J48" s="712">
        <v>132897.082519467</v>
      </c>
      <c r="K48" s="737">
        <v>48.4675147311768</v>
      </c>
      <c r="L48" s="737">
        <v>79.4486800682507</v>
      </c>
      <c r="M48" s="737">
        <v>7.41672519140449</v>
      </c>
      <c r="N48" s="737">
        <v>29.0963578117944</v>
      </c>
      <c r="O48" s="737">
        <v>13.7009345690021</v>
      </c>
      <c r="P48" s="733"/>
    </row>
    <row r="49" spans="2:16">
      <c r="B49" s="723"/>
      <c r="C49" s="721" t="s">
        <v>385</v>
      </c>
      <c r="D49" s="712">
        <v>1740754.869636</v>
      </c>
      <c r="E49" s="712">
        <v>1677197.80355297</v>
      </c>
      <c r="F49" s="712">
        <v>-63557.0660830282</v>
      </c>
      <c r="G49" s="712">
        <v>3417952.67318897</v>
      </c>
      <c r="H49" s="712">
        <v>1444686.8938993</v>
      </c>
      <c r="I49" s="712">
        <v>232510.909653672</v>
      </c>
      <c r="J49" s="712">
        <v>85286.871707142</v>
      </c>
      <c r="K49" s="737">
        <v>49.0702465458112</v>
      </c>
      <c r="L49" s="737">
        <v>86.1369416796802</v>
      </c>
      <c r="M49" s="737">
        <v>5.08508129014184</v>
      </c>
      <c r="N49" s="737">
        <v>-8.62991634660848</v>
      </c>
      <c r="O49" s="737">
        <v>-6.39888427379522</v>
      </c>
      <c r="P49" s="733"/>
    </row>
    <row r="50" spans="2:16">
      <c r="B50" s="723"/>
      <c r="C50" s="721" t="s">
        <v>386</v>
      </c>
      <c r="D50" s="712">
        <v>2005917.773928</v>
      </c>
      <c r="E50" s="712">
        <v>1421104.60682859</v>
      </c>
      <c r="F50" s="712">
        <v>-584813.167099412</v>
      </c>
      <c r="G50" s="712">
        <v>3427022.38075659</v>
      </c>
      <c r="H50" s="712">
        <v>1073795.1695626</v>
      </c>
      <c r="I50" s="712">
        <v>347309.437265988</v>
      </c>
      <c r="J50" s="712">
        <v>143972.961869108</v>
      </c>
      <c r="K50" s="737">
        <v>41.4676196691441</v>
      </c>
      <c r="L50" s="737">
        <v>75.5606001418107</v>
      </c>
      <c r="M50" s="737">
        <v>10.1310601047453</v>
      </c>
      <c r="N50" s="737">
        <v>15.232638949759</v>
      </c>
      <c r="O50" s="737">
        <v>-15.2691111437111</v>
      </c>
      <c r="P50" s="733"/>
    </row>
    <row r="51" spans="2:16">
      <c r="B51" s="723"/>
      <c r="C51" s="721" t="s">
        <v>387</v>
      </c>
      <c r="D51" s="712">
        <v>1589188.659941</v>
      </c>
      <c r="E51" s="712">
        <v>2038252.73838243</v>
      </c>
      <c r="F51" s="712">
        <v>449064.07844143</v>
      </c>
      <c r="G51" s="712">
        <v>3627441.39832343</v>
      </c>
      <c r="H51" s="712">
        <v>1507701.373958</v>
      </c>
      <c r="I51" s="712">
        <v>530551.36442443</v>
      </c>
      <c r="J51" s="712">
        <v>323265.34672175</v>
      </c>
      <c r="K51" s="737">
        <v>56.1898185129742</v>
      </c>
      <c r="L51" s="737">
        <v>73.9702857043392</v>
      </c>
      <c r="M51" s="737">
        <v>15.8599245635404</v>
      </c>
      <c r="N51" s="737">
        <v>-20.7749848674484</v>
      </c>
      <c r="O51" s="737">
        <v>43.427354227716</v>
      </c>
      <c r="P51" s="733"/>
    </row>
    <row r="52" spans="2:16">
      <c r="B52" s="726"/>
      <c r="C52" s="721" t="s">
        <v>388</v>
      </c>
      <c r="D52" s="712">
        <v>2084494.290728</v>
      </c>
      <c r="E52" s="712">
        <v>1977179.35352142</v>
      </c>
      <c r="F52" s="712">
        <v>-107314.93720658</v>
      </c>
      <c r="G52" s="712">
        <v>4061673.64424942</v>
      </c>
      <c r="H52" s="712">
        <v>1487004.6683012</v>
      </c>
      <c r="I52" s="712">
        <v>490174.68522022</v>
      </c>
      <c r="J52" s="712">
        <v>260115.88916951</v>
      </c>
      <c r="K52" s="737">
        <v>48.6789320535573</v>
      </c>
      <c r="L52" s="737">
        <v>75.2083854028112</v>
      </c>
      <c r="M52" s="737">
        <v>13.1559076168905</v>
      </c>
      <c r="N52" s="737">
        <v>31.1672014325466</v>
      </c>
      <c r="O52" s="737">
        <v>-2.99635976005008</v>
      </c>
      <c r="P52" s="733"/>
    </row>
    <row r="53" spans="2:16">
      <c r="B53" s="726"/>
      <c r="C53" s="721" t="s">
        <v>389</v>
      </c>
      <c r="D53" s="712">
        <v>2215736.477161</v>
      </c>
      <c r="E53" s="712">
        <v>2065113.0296665</v>
      </c>
      <c r="F53" s="712">
        <v>-150623.447494498</v>
      </c>
      <c r="G53" s="712">
        <v>4280849.5068275</v>
      </c>
      <c r="H53" s="712">
        <v>1511558.57548653</v>
      </c>
      <c r="I53" s="712">
        <v>553554.454179971</v>
      </c>
      <c r="J53" s="712">
        <v>368370.450205342</v>
      </c>
      <c r="K53" s="737">
        <v>48.240729471402</v>
      </c>
      <c r="L53" s="737">
        <v>73.1949561003271</v>
      </c>
      <c r="M53" s="737">
        <v>17.8377863542332</v>
      </c>
      <c r="N53" s="737">
        <v>6.29611637780806</v>
      </c>
      <c r="O53" s="737">
        <v>4.44743042599896</v>
      </c>
      <c r="P53" s="733"/>
    </row>
    <row r="54" spans="2:16">
      <c r="B54" s="726"/>
      <c r="C54" s="721" t="s">
        <v>390</v>
      </c>
      <c r="D54" s="712">
        <v>1640350.707599</v>
      </c>
      <c r="E54" s="712">
        <v>1724326.50270787</v>
      </c>
      <c r="F54" s="712">
        <v>83975.7951088739</v>
      </c>
      <c r="G54" s="712">
        <v>3364677.21030687</v>
      </c>
      <c r="H54" s="712">
        <v>1270799.9403864</v>
      </c>
      <c r="I54" s="712">
        <v>453526.562321474</v>
      </c>
      <c r="J54" s="712">
        <v>182388.749516058</v>
      </c>
      <c r="K54" s="737">
        <v>51.2479026940777</v>
      </c>
      <c r="L54" s="737">
        <v>73.6983360396504</v>
      </c>
      <c r="M54" s="737">
        <v>10.5773906061083</v>
      </c>
      <c r="N54" s="737">
        <v>-25.9681498902449</v>
      </c>
      <c r="O54" s="737">
        <v>-16.5020762574754</v>
      </c>
      <c r="P54" s="733"/>
    </row>
    <row r="55" spans="2:18">
      <c r="B55" s="727">
        <v>2022</v>
      </c>
      <c r="C55" s="721" t="s">
        <v>379</v>
      </c>
      <c r="D55" s="712">
        <v>2054609.27059817</v>
      </c>
      <c r="E55" s="712">
        <v>2197925.26780018</v>
      </c>
      <c r="F55" s="712">
        <v>143315.997202016</v>
      </c>
      <c r="G55" s="712">
        <v>4252534.53839835</v>
      </c>
      <c r="H55" s="712">
        <v>1739430.01126123</v>
      </c>
      <c r="I55" s="712">
        <v>458495.256538949</v>
      </c>
      <c r="J55" s="712">
        <v>193212.843101219</v>
      </c>
      <c r="K55" s="712">
        <v>51.6850656462392</v>
      </c>
      <c r="L55" s="712">
        <v>79.1396339422478</v>
      </c>
      <c r="M55" s="712">
        <v>8.79069211004603</v>
      </c>
      <c r="N55" s="737">
        <v>25.2542679489268</v>
      </c>
      <c r="O55" s="737">
        <v>27.4657244059389</v>
      </c>
      <c r="P55" s="733"/>
      <c r="Q55" s="261"/>
      <c r="R55" s="739"/>
    </row>
    <row r="56" spans="2:18">
      <c r="B56" s="726"/>
      <c r="C56" s="721" t="s">
        <v>380</v>
      </c>
      <c r="D56" s="712">
        <v>2013613.55912089</v>
      </c>
      <c r="E56" s="712">
        <v>2093794.55085429</v>
      </c>
      <c r="F56" s="712">
        <v>80180.9917333939</v>
      </c>
      <c r="G56" s="712">
        <v>4107408.10997518</v>
      </c>
      <c r="H56" s="712">
        <v>1671939.1600122</v>
      </c>
      <c r="I56" s="712">
        <v>421855.390842086</v>
      </c>
      <c r="J56" s="712">
        <v>174688.944315176</v>
      </c>
      <c r="K56" s="712">
        <v>50.9760533843553</v>
      </c>
      <c r="L56" s="712">
        <v>79.8521115326255</v>
      </c>
      <c r="M56" s="712">
        <v>8.34317503806192</v>
      </c>
      <c r="N56" s="737">
        <v>-1.99530451185693</v>
      </c>
      <c r="O56" s="737">
        <v>-4.73768232575616</v>
      </c>
      <c r="P56" s="733"/>
      <c r="Q56" s="261"/>
      <c r="R56" s="739"/>
    </row>
    <row r="57" spans="2:18">
      <c r="B57" s="726"/>
      <c r="C57" s="721" t="s">
        <v>391</v>
      </c>
      <c r="D57" s="712">
        <v>3427450.68983248</v>
      </c>
      <c r="E57" s="712">
        <v>2810393.80812619</v>
      </c>
      <c r="F57" s="712">
        <v>-617056.881706291</v>
      </c>
      <c r="G57" s="712">
        <v>6237844.49795867</v>
      </c>
      <c r="H57" s="712">
        <v>2209623.00185684</v>
      </c>
      <c r="I57" s="712">
        <v>600770.80626935</v>
      </c>
      <c r="J57" s="712">
        <v>348947.63161482</v>
      </c>
      <c r="K57" s="712">
        <v>45.0539254232113</v>
      </c>
      <c r="L57" s="712">
        <v>78.6232518541624</v>
      </c>
      <c r="M57" s="712">
        <v>12.4163250931541</v>
      </c>
      <c r="N57" s="737">
        <v>70.2139258204462</v>
      </c>
      <c r="O57" s="737">
        <v>34.2249079299364</v>
      </c>
      <c r="P57" s="733"/>
      <c r="Q57" s="261"/>
      <c r="R57" s="739"/>
    </row>
    <row r="58" spans="2:18">
      <c r="B58" s="728"/>
      <c r="C58" s="721" t="s">
        <v>382</v>
      </c>
      <c r="D58" s="712">
        <v>1713699.188916</v>
      </c>
      <c r="E58" s="712">
        <v>2262107.36444011</v>
      </c>
      <c r="F58" s="712">
        <v>548408.175524113</v>
      </c>
      <c r="G58" s="712">
        <v>3975806.55335611</v>
      </c>
      <c r="H58" s="712">
        <v>1743208.86504189</v>
      </c>
      <c r="I58" s="712">
        <v>518898.499398223</v>
      </c>
      <c r="J58" s="712">
        <v>217676.984276393</v>
      </c>
      <c r="K58" s="712">
        <v>56.8968166353715</v>
      </c>
      <c r="L58" s="712">
        <v>77.0612788961653</v>
      </c>
      <c r="M58" s="712">
        <v>9.62275211593547</v>
      </c>
      <c r="N58" s="737">
        <v>-50.0007631327948</v>
      </c>
      <c r="O58" s="737">
        <v>-19.5092389579254</v>
      </c>
      <c r="P58" s="733"/>
      <c r="Q58" s="261"/>
      <c r="R58" s="739"/>
    </row>
    <row r="59" spans="2:18">
      <c r="B59" s="728"/>
      <c r="C59" s="721" t="s">
        <v>383</v>
      </c>
      <c r="D59" s="712">
        <v>2051813.964796</v>
      </c>
      <c r="E59" s="712">
        <v>2632300.33099019</v>
      </c>
      <c r="F59" s="712">
        <v>580486.366194193</v>
      </c>
      <c r="G59" s="712">
        <v>4684114.29578619</v>
      </c>
      <c r="H59" s="712">
        <v>2180188.33608912</v>
      </c>
      <c r="I59" s="712">
        <v>452111.994901074</v>
      </c>
      <c r="J59" s="712">
        <v>237290.474613443</v>
      </c>
      <c r="K59" s="712">
        <v>56.196330080122</v>
      </c>
      <c r="L59" s="712">
        <v>82.8244524540631</v>
      </c>
      <c r="M59" s="712">
        <v>9.01456691015882</v>
      </c>
      <c r="N59" s="737">
        <v>19.7301123830183</v>
      </c>
      <c r="O59" s="737">
        <v>16.364960053154</v>
      </c>
      <c r="P59" s="733"/>
      <c r="Q59" s="261"/>
      <c r="R59" s="739"/>
    </row>
    <row r="60" spans="2:18">
      <c r="B60" s="728"/>
      <c r="C60" s="721" t="s">
        <v>392</v>
      </c>
      <c r="D60" s="712">
        <v>2623001.01412022</v>
      </c>
      <c r="E60" s="712">
        <v>2506479.12829113</v>
      </c>
      <c r="F60" s="712">
        <v>-116521.88582909</v>
      </c>
      <c r="G60" s="712">
        <v>5129480.14241134</v>
      </c>
      <c r="H60" s="712">
        <v>1984570.4226045</v>
      </c>
      <c r="I60" s="712">
        <v>521908.705686627</v>
      </c>
      <c r="J60" s="712">
        <v>214467.774033307</v>
      </c>
      <c r="K60" s="712">
        <v>48.864194006078</v>
      </c>
      <c r="L60" s="712">
        <v>79.1776161311004</v>
      </c>
      <c r="M60" s="712">
        <v>8.55653540508542</v>
      </c>
      <c r="N60" s="737">
        <v>27.8381500040627</v>
      </c>
      <c r="O60" s="737">
        <v>-4.77989541002473</v>
      </c>
      <c r="P60" s="733"/>
      <c r="Q60" s="261"/>
      <c r="R60" s="739"/>
    </row>
    <row r="61" spans="2:18">
      <c r="B61" s="728"/>
      <c r="C61" s="721" t="s">
        <v>393</v>
      </c>
      <c r="D61" s="712">
        <v>2362266.1496404</v>
      </c>
      <c r="E61" s="712">
        <v>2177754.73189187</v>
      </c>
      <c r="F61" s="712">
        <v>-184511.417748535</v>
      </c>
      <c r="G61" s="712">
        <v>4540020.88153227</v>
      </c>
      <c r="H61" s="712">
        <v>1718187.2716549</v>
      </c>
      <c r="I61" s="712">
        <v>459567.460236967</v>
      </c>
      <c r="J61" s="712">
        <v>133646.175605847</v>
      </c>
      <c r="K61" s="712">
        <v>47.9679452742268</v>
      </c>
      <c r="L61" s="712">
        <v>78.8971892239798</v>
      </c>
      <c r="M61" s="712">
        <v>6.13687912824532</v>
      </c>
      <c r="N61" s="737">
        <v>-9.94032648390982</v>
      </c>
      <c r="O61" s="737">
        <v>-13.1149863842424</v>
      </c>
      <c r="P61" s="733"/>
      <c r="Q61" s="261"/>
      <c r="R61" s="739"/>
    </row>
    <row r="62" spans="2:18">
      <c r="B62" s="728"/>
      <c r="C62" s="721" t="s">
        <v>386</v>
      </c>
      <c r="D62" s="712">
        <v>2174999.34905941</v>
      </c>
      <c r="E62" s="712">
        <v>1957365.67759307</v>
      </c>
      <c r="F62" s="712">
        <v>-217633.671466348</v>
      </c>
      <c r="G62" s="712">
        <v>4132365.02665248</v>
      </c>
      <c r="H62" s="712">
        <v>1536472.3187595</v>
      </c>
      <c r="I62" s="712">
        <v>420893.358833566</v>
      </c>
      <c r="J62" s="712">
        <v>166497.694797251</v>
      </c>
      <c r="K62" s="712">
        <v>47.3667177262575</v>
      </c>
      <c r="L62" s="712">
        <v>78.4969480331785</v>
      </c>
      <c r="M62" s="712">
        <v>8.50621305478236</v>
      </c>
      <c r="N62" s="737">
        <v>-7.92742175175708</v>
      </c>
      <c r="O62" s="737">
        <v>-10.1200126474915</v>
      </c>
      <c r="P62" s="733"/>
      <c r="Q62" s="261"/>
      <c r="R62" s="739"/>
    </row>
    <row r="63" spans="2:18">
      <c r="B63" s="728"/>
      <c r="C63" s="721" t="s">
        <v>394</v>
      </c>
      <c r="D63" s="712">
        <v>1806266.27785618</v>
      </c>
      <c r="E63" s="712">
        <v>1799025.6707796</v>
      </c>
      <c r="F63" s="712">
        <v>-7240.60707657202</v>
      </c>
      <c r="G63" s="712">
        <v>3605291.94863578</v>
      </c>
      <c r="H63" s="712">
        <v>1403641.63901779</v>
      </c>
      <c r="I63" s="712">
        <v>395384.031761814</v>
      </c>
      <c r="J63" s="712">
        <v>138367.800055641</v>
      </c>
      <c r="K63" s="712">
        <v>49.8995836234662</v>
      </c>
      <c r="L63" s="712">
        <v>78.0223240733149</v>
      </c>
      <c r="M63" s="712">
        <v>7.69126323782136</v>
      </c>
      <c r="N63" s="737">
        <v>-16.9532497268424</v>
      </c>
      <c r="O63" s="737">
        <v>-8.08944432949133</v>
      </c>
      <c r="P63" s="733"/>
      <c r="Q63" s="261"/>
      <c r="R63" s="739"/>
    </row>
    <row r="64" spans="2:18">
      <c r="B64" s="728"/>
      <c r="C64" s="721" t="s">
        <v>388</v>
      </c>
      <c r="D64" s="712">
        <v>2187190.32255878</v>
      </c>
      <c r="E64" s="712">
        <v>2081244.63200076</v>
      </c>
      <c r="F64" s="712">
        <v>-105945.690558025</v>
      </c>
      <c r="G64" s="712">
        <v>4268434.95455955</v>
      </c>
      <c r="H64" s="712">
        <v>1660199.5415539</v>
      </c>
      <c r="I64" s="712">
        <v>421045.09044686</v>
      </c>
      <c r="J64" s="712">
        <v>194022.91659002</v>
      </c>
      <c r="K64" s="712">
        <v>48.758963277104</v>
      </c>
      <c r="L64" s="712">
        <v>79.7695530850644</v>
      </c>
      <c r="M64" s="712">
        <v>9.32244646336938</v>
      </c>
      <c r="N64" s="737">
        <v>21.089030414426</v>
      </c>
      <c r="O64" s="737">
        <v>15.687322632748</v>
      </c>
      <c r="P64" s="733"/>
      <c r="Q64" s="261"/>
      <c r="R64" s="739"/>
    </row>
    <row r="65" spans="2:18">
      <c r="B65" s="728"/>
      <c r="C65" s="721" t="s">
        <v>389</v>
      </c>
      <c r="D65" s="712">
        <v>1939908.763047</v>
      </c>
      <c r="E65" s="712">
        <v>1925285.29989303</v>
      </c>
      <c r="F65" s="712">
        <v>-14623.463153969</v>
      </c>
      <c r="G65" s="712">
        <v>3865194.06294003</v>
      </c>
      <c r="H65" s="712">
        <v>1534807.1003189</v>
      </c>
      <c r="I65" s="712">
        <v>390478.199574131</v>
      </c>
      <c r="J65" s="712">
        <v>181529.209817411</v>
      </c>
      <c r="K65" s="712">
        <v>49.8108314496524</v>
      </c>
      <c r="L65" s="712">
        <v>79.7184240904023</v>
      </c>
      <c r="M65" s="712">
        <v>9.42869141666935</v>
      </c>
      <c r="N65" s="737">
        <v>-11.3059004038794</v>
      </c>
      <c r="O65" s="737">
        <v>-7.49356081018697</v>
      </c>
      <c r="P65" s="733"/>
      <c r="Q65" s="261"/>
      <c r="R65" s="739"/>
    </row>
    <row r="66" spans="2:18">
      <c r="B66" s="728"/>
      <c r="C66" s="721" t="s">
        <v>390</v>
      </c>
      <c r="D66" s="712">
        <v>1235728.859922</v>
      </c>
      <c r="E66" s="712">
        <v>2353078.39997127</v>
      </c>
      <c r="F66" s="712">
        <v>1117349.54004927</v>
      </c>
      <c r="G66" s="712">
        <v>3588807.25989327</v>
      </c>
      <c r="H66" s="712">
        <v>1716909.91607859</v>
      </c>
      <c r="I66" s="712">
        <v>636168.483892683</v>
      </c>
      <c r="J66" s="712">
        <v>356686.097540523</v>
      </c>
      <c r="K66" s="712">
        <v>65.5671433311036</v>
      </c>
      <c r="L66" s="712">
        <v>72.9644161494811</v>
      </c>
      <c r="M66" s="712">
        <v>15.1582751150526</v>
      </c>
      <c r="N66" s="737">
        <v>-36.2996402995237</v>
      </c>
      <c r="O66" s="737">
        <v>22.2197250507242</v>
      </c>
      <c r="P66" s="733"/>
      <c r="Q66" s="261"/>
      <c r="R66" s="739"/>
    </row>
    <row r="67" spans="2:18">
      <c r="B67" s="740">
        <v>2023</v>
      </c>
      <c r="C67" s="714" t="s">
        <v>379</v>
      </c>
      <c r="D67" s="714">
        <v>2317542.66250415</v>
      </c>
      <c r="E67" s="714">
        <v>2286075.5542705</v>
      </c>
      <c r="F67" s="714">
        <v>-31467.1082336479</v>
      </c>
      <c r="G67" s="714">
        <v>4603618.21677464</v>
      </c>
      <c r="H67" s="714">
        <v>1797906.24053764</v>
      </c>
      <c r="I67" s="714">
        <v>488169.313732858</v>
      </c>
      <c r="J67" s="714">
        <v>260798.077894468</v>
      </c>
      <c r="K67" s="714">
        <v>49.6582350365307</v>
      </c>
      <c r="L67" s="714">
        <v>78.6459676356307</v>
      </c>
      <c r="M67" s="714">
        <v>11.4081127986905</v>
      </c>
      <c r="N67" s="714">
        <v>87.5445931278509</v>
      </c>
      <c r="O67" s="714">
        <v>-2.84745487874917</v>
      </c>
      <c r="P67" s="733"/>
      <c r="Q67" s="261"/>
      <c r="R67" s="739"/>
    </row>
    <row r="68" spans="2:18">
      <c r="B68" s="728"/>
      <c r="C68" s="714" t="s">
        <v>380</v>
      </c>
      <c r="D68" s="714">
        <v>1944656.29477803</v>
      </c>
      <c r="E68" s="714">
        <v>1916083.94838728</v>
      </c>
      <c r="F68" s="714">
        <v>-28572.3463907482</v>
      </c>
      <c r="G68" s="714">
        <v>3860740.24316532</v>
      </c>
      <c r="H68" s="714">
        <v>1520811.52152861</v>
      </c>
      <c r="I68" s="714">
        <v>395272.426858674</v>
      </c>
      <c r="J68" s="714">
        <v>198598.250150904</v>
      </c>
      <c r="K68" s="714">
        <v>49.6299628492058</v>
      </c>
      <c r="L68" s="714">
        <v>79.3708189460402</v>
      </c>
      <c r="M68" s="714">
        <v>10.364799011967</v>
      </c>
      <c r="N68" s="714">
        <v>-16.0897304614537</v>
      </c>
      <c r="O68" s="714">
        <v>-16.1845747045434</v>
      </c>
      <c r="P68" s="733"/>
      <c r="Q68" s="261"/>
      <c r="R68" s="739"/>
    </row>
    <row r="69" spans="2:18">
      <c r="B69" s="741"/>
      <c r="C69" s="714" t="s">
        <v>391</v>
      </c>
      <c r="D69" s="714">
        <v>2203903.42739098</v>
      </c>
      <c r="E69" s="714">
        <v>2284879.37909767</v>
      </c>
      <c r="F69" s="714">
        <v>80975.9517066842</v>
      </c>
      <c r="G69" s="714">
        <v>4488782.80648865</v>
      </c>
      <c r="H69" s="714">
        <v>1829861.90816411</v>
      </c>
      <c r="I69" s="714">
        <v>455017.470933559</v>
      </c>
      <c r="J69" s="714">
        <v>204377.522169469</v>
      </c>
      <c r="K69" s="714">
        <v>50.9019811739346</v>
      </c>
      <c r="L69" s="714">
        <v>80.0857115217499</v>
      </c>
      <c r="M69" s="714">
        <v>8.94478387083088</v>
      </c>
      <c r="N69" s="714">
        <v>13.3312572154322</v>
      </c>
      <c r="O69" s="714">
        <v>19.2473524461593</v>
      </c>
      <c r="P69" s="733"/>
      <c r="Q69" s="261"/>
      <c r="R69" s="739"/>
    </row>
    <row r="70" spans="2:18">
      <c r="B70" s="728"/>
      <c r="C70" s="714" t="s">
        <v>382</v>
      </c>
      <c r="D70" s="714">
        <v>1934419.19922668</v>
      </c>
      <c r="E70" s="714">
        <v>1786236.2049599</v>
      </c>
      <c r="F70" s="714">
        <v>-148182.994266781</v>
      </c>
      <c r="G70" s="714">
        <v>3720655.40418658</v>
      </c>
      <c r="H70" s="714">
        <v>1390806.9148952</v>
      </c>
      <c r="I70" s="714">
        <v>395429.2900647</v>
      </c>
      <c r="J70" s="714">
        <v>197245.48011066</v>
      </c>
      <c r="K70" s="714">
        <v>48.0086439327324</v>
      </c>
      <c r="L70" s="714">
        <v>77.8624300097211</v>
      </c>
      <c r="M70" s="714">
        <v>11.0425194362852</v>
      </c>
      <c r="N70" s="714">
        <v>-12.2275878704596</v>
      </c>
      <c r="O70" s="714">
        <v>-21.8236104145984</v>
      </c>
      <c r="P70" s="733"/>
      <c r="Q70" s="261"/>
      <c r="R70" s="739"/>
    </row>
    <row r="71" spans="2:18">
      <c r="B71" s="728"/>
      <c r="C71" s="714" t="s">
        <v>383</v>
      </c>
      <c r="D71" s="714">
        <v>2645166.1645242</v>
      </c>
      <c r="E71" s="714">
        <v>1887512.45398054</v>
      </c>
      <c r="F71" s="714">
        <v>-757653.710543655</v>
      </c>
      <c r="G71" s="714">
        <v>4532678.61850474</v>
      </c>
      <c r="H71" s="714">
        <v>1466062.7807437</v>
      </c>
      <c r="I71" s="714">
        <v>421449.673236843</v>
      </c>
      <c r="J71" s="714">
        <v>211501.229260253</v>
      </c>
      <c r="K71" s="714">
        <v>41.6423182149897</v>
      </c>
      <c r="L71" s="714">
        <v>77.67168781599</v>
      </c>
      <c r="M71" s="714">
        <v>11.2052892056008</v>
      </c>
      <c r="N71" s="714">
        <v>36.7421376701416</v>
      </c>
      <c r="O71" s="714">
        <v>5.66981280188063</v>
      </c>
      <c r="P71" s="733"/>
      <c r="Q71" s="261"/>
      <c r="R71" s="739"/>
    </row>
    <row r="72" spans="2:18">
      <c r="B72" s="728"/>
      <c r="C72" s="714" t="s">
        <v>384</v>
      </c>
      <c r="D72" s="714">
        <v>1722363.39195697</v>
      </c>
      <c r="E72" s="714">
        <v>2761381.54812577</v>
      </c>
      <c r="F72" s="714">
        <v>1039018.1561688</v>
      </c>
      <c r="G72" s="714">
        <v>4483744.94008275</v>
      </c>
      <c r="H72" s="714">
        <v>2148838.07653739</v>
      </c>
      <c r="I72" s="714">
        <v>612543.471588383</v>
      </c>
      <c r="J72" s="714">
        <v>292880.829100153</v>
      </c>
      <c r="K72" s="714">
        <v>61.5864993443363</v>
      </c>
      <c r="L72" s="714">
        <v>77.817499649618</v>
      </c>
      <c r="M72" s="714">
        <v>10.6063151359485</v>
      </c>
      <c r="N72" s="714">
        <v>-34.8863819953335</v>
      </c>
      <c r="O72" s="714">
        <v>46.2973948755857</v>
      </c>
      <c r="P72" s="733"/>
      <c r="Q72" s="261"/>
      <c r="R72" s="739"/>
    </row>
    <row r="73" spans="2:18">
      <c r="B73" s="728"/>
      <c r="C73" s="714" t="s">
        <v>385</v>
      </c>
      <c r="D73" s="714">
        <v>2864333.552654</v>
      </c>
      <c r="E73" s="714">
        <v>3016388.88019706</v>
      </c>
      <c r="F73" s="714">
        <v>152055.327543063</v>
      </c>
      <c r="G73" s="714">
        <v>5880722.43285106</v>
      </c>
      <c r="H73" s="714">
        <v>2452245.1840205</v>
      </c>
      <c r="I73" s="714">
        <v>564143.696176563</v>
      </c>
      <c r="J73" s="714">
        <v>267511.265544763</v>
      </c>
      <c r="K73" s="714">
        <v>51.292828638652</v>
      </c>
      <c r="L73" s="714">
        <v>81.2973817838863</v>
      </c>
      <c r="M73" s="714">
        <v>8.86859341317046</v>
      </c>
      <c r="N73" s="714">
        <v>66.3025100295183</v>
      </c>
      <c r="O73" s="714">
        <v>9.23477352285384</v>
      </c>
      <c r="P73" s="733"/>
      <c r="Q73" s="261"/>
      <c r="R73" s="739"/>
    </row>
    <row r="74" spans="2:18">
      <c r="B74" s="728"/>
      <c r="C74" s="714" t="s">
        <v>386</v>
      </c>
      <c r="D74" s="714">
        <v>3485482.72462086</v>
      </c>
      <c r="E74" s="714">
        <v>3462597.68340603</v>
      </c>
      <c r="F74" s="714">
        <v>-22885.0412148358</v>
      </c>
      <c r="G74" s="714">
        <v>6948080.40802689</v>
      </c>
      <c r="H74" s="714">
        <v>2826538.6425026</v>
      </c>
      <c r="I74" s="714">
        <v>636059.040903426</v>
      </c>
      <c r="J74" s="714">
        <v>234170.961345726</v>
      </c>
      <c r="K74" s="714">
        <v>49.8353139293812</v>
      </c>
      <c r="L74" s="714">
        <v>81.6305820352263</v>
      </c>
      <c r="M74" s="714">
        <v>6.76286946265674</v>
      </c>
      <c r="N74" s="714">
        <v>21.6856438172616</v>
      </c>
      <c r="O74" s="714">
        <v>14.7928142202875</v>
      </c>
      <c r="P74" s="733"/>
      <c r="Q74" s="261"/>
      <c r="R74" s="739"/>
    </row>
    <row r="75" spans="2:18">
      <c r="B75" s="728"/>
      <c r="C75" s="714" t="s">
        <v>387</v>
      </c>
      <c r="D75" s="714">
        <v>2691420.82213215</v>
      </c>
      <c r="E75" s="714">
        <v>3867617.28698506</v>
      </c>
      <c r="F75" s="714">
        <v>1176196.46485291</v>
      </c>
      <c r="G75" s="714">
        <v>6559038.10911722</v>
      </c>
      <c r="H75" s="714">
        <v>3256828.368193</v>
      </c>
      <c r="I75" s="714">
        <v>610788.918792065</v>
      </c>
      <c r="J75" s="714">
        <v>181340.258335204</v>
      </c>
      <c r="K75" s="714">
        <v>58.966226794886</v>
      </c>
      <c r="L75" s="714">
        <v>84.2076174173843</v>
      </c>
      <c r="M75" s="714">
        <v>4.6886815545435</v>
      </c>
      <c r="N75" s="714">
        <v>-22.7819778557383</v>
      </c>
      <c r="O75" s="714">
        <v>11.6969870776508</v>
      </c>
      <c r="P75" s="733"/>
      <c r="Q75" s="261"/>
      <c r="R75" s="739"/>
    </row>
    <row r="76" spans="2:18">
      <c r="B76" s="728"/>
      <c r="C76" s="714" t="s">
        <v>388</v>
      </c>
      <c r="D76" s="714">
        <v>3457686.16131304</v>
      </c>
      <c r="E76" s="714">
        <v>4141072.89603549</v>
      </c>
      <c r="F76" s="714">
        <v>683386.734722453</v>
      </c>
      <c r="G76" s="714">
        <v>7598759.05734853</v>
      </c>
      <c r="H76" s="714">
        <v>3560711.422371</v>
      </c>
      <c r="I76" s="714">
        <v>580361.473664492</v>
      </c>
      <c r="J76" s="714">
        <v>290144.007997432</v>
      </c>
      <c r="K76" s="714">
        <v>54.496699589794</v>
      </c>
      <c r="L76" s="714">
        <v>85.9852388925559</v>
      </c>
      <c r="M76" s="714">
        <v>7.00649361365275</v>
      </c>
      <c r="N76" s="714">
        <v>28.4706625169766</v>
      </c>
      <c r="O76" s="714">
        <v>7.07038956441306</v>
      </c>
      <c r="P76" s="733"/>
      <c r="Q76" s="261"/>
      <c r="R76" s="739"/>
    </row>
    <row r="77" spans="2:18">
      <c r="B77" s="728"/>
      <c r="C77" s="714" t="s">
        <v>389</v>
      </c>
      <c r="D77" s="714">
        <v>3014709.16028018</v>
      </c>
      <c r="E77" s="714">
        <v>4267979.9982961</v>
      </c>
      <c r="F77" s="714">
        <v>1253270.83801592</v>
      </c>
      <c r="G77" s="714">
        <v>7282689.15857629</v>
      </c>
      <c r="H77" s="714">
        <v>3345174.39791802</v>
      </c>
      <c r="I77" s="714">
        <v>922805.600378081</v>
      </c>
      <c r="J77" s="714">
        <v>413042.876341529</v>
      </c>
      <c r="K77" s="714">
        <v>58.6044509845655</v>
      </c>
      <c r="L77" s="714">
        <v>78.3783991315214</v>
      </c>
      <c r="M77" s="714">
        <v>9.67771349693362</v>
      </c>
      <c r="N77" s="714">
        <v>-12.8113709679376</v>
      </c>
      <c r="O77" s="714">
        <v>3.06459474263552</v>
      </c>
      <c r="P77" s="733"/>
      <c r="Q77" s="261"/>
      <c r="R77" s="739"/>
    </row>
    <row r="78" spans="2:18">
      <c r="B78" s="728"/>
      <c r="C78" s="714" t="s">
        <v>390</v>
      </c>
      <c r="D78" s="714">
        <v>2581381.97480911</v>
      </c>
      <c r="E78" s="714">
        <v>4284566.608944</v>
      </c>
      <c r="F78" s="714">
        <v>1703184.63413489</v>
      </c>
      <c r="G78" s="714">
        <v>6865948.5837531</v>
      </c>
      <c r="H78" s="714">
        <v>3404818.1130188</v>
      </c>
      <c r="I78" s="714">
        <v>879748.495925199</v>
      </c>
      <c r="J78" s="714">
        <v>392243.469132018</v>
      </c>
      <c r="K78" s="714">
        <v>62.4031269194554</v>
      </c>
      <c r="L78" s="714">
        <v>79.4670365472034</v>
      </c>
      <c r="M78" s="714">
        <v>9.15479918816556</v>
      </c>
      <c r="N78" s="714">
        <v>-14.3737641819752</v>
      </c>
      <c r="O78" s="714">
        <v>0.388629062332064</v>
      </c>
      <c r="P78" s="733"/>
      <c r="Q78" s="261"/>
      <c r="R78" s="739"/>
    </row>
    <row r="79" spans="2:18">
      <c r="B79" s="740">
        <v>2024</v>
      </c>
      <c r="C79" s="714" t="s">
        <v>379</v>
      </c>
      <c r="D79" s="714">
        <v>3716195.53137646</v>
      </c>
      <c r="E79" s="714">
        <v>6246957.73637797</v>
      </c>
      <c r="F79" s="714">
        <v>2530762.20500151</v>
      </c>
      <c r="G79" s="714">
        <v>9963153.26775443</v>
      </c>
      <c r="H79" s="714">
        <v>5200489.41837389</v>
      </c>
      <c r="I79" s="714">
        <v>1046468.31800408</v>
      </c>
      <c r="J79" s="734">
        <v>591272.418990499</v>
      </c>
      <c r="K79" s="714">
        <v>62.7006086175161</v>
      </c>
      <c r="L79" s="714">
        <v>83.2483528436542</v>
      </c>
      <c r="M79" s="734">
        <v>9.46496589127436</v>
      </c>
      <c r="N79" s="714">
        <v>43.9614736463508</v>
      </c>
      <c r="O79" s="714">
        <v>45.8013915185143</v>
      </c>
      <c r="P79" s="733"/>
      <c r="Q79" s="733"/>
      <c r="R79" s="739"/>
    </row>
    <row r="80" ht="15.6" spans="2:18">
      <c r="B80" s="740"/>
      <c r="C80" s="714" t="s">
        <v>380</v>
      </c>
      <c r="D80" s="714">
        <v>5457146.57339615</v>
      </c>
      <c r="E80" s="714">
        <v>6657421.74921332</v>
      </c>
      <c r="F80" s="714">
        <v>1200275.17581717</v>
      </c>
      <c r="G80" s="714">
        <v>12114568.3226095</v>
      </c>
      <c r="H80" s="714">
        <v>5483536.29869788</v>
      </c>
      <c r="I80" s="714">
        <v>1173885.45051544</v>
      </c>
      <c r="J80" s="734">
        <v>468030.443829039</v>
      </c>
      <c r="K80" s="714">
        <v>54.9538503719406</v>
      </c>
      <c r="L80" s="714">
        <v>82.3672662670928</v>
      </c>
      <c r="M80" s="734">
        <v>7.03020570815338</v>
      </c>
      <c r="N80" s="714">
        <v>46.8476706169131</v>
      </c>
      <c r="O80" s="714">
        <v>6.57062253591201</v>
      </c>
      <c r="P80" s="733"/>
      <c r="Q80" s="733"/>
      <c r="R80" s="733"/>
    </row>
    <row r="81" ht="15.6" spans="2:18">
      <c r="B81" s="742"/>
      <c r="C81" s="714" t="s">
        <v>391</v>
      </c>
      <c r="D81" s="714">
        <v>5576182.04472304</v>
      </c>
      <c r="E81" s="714">
        <v>6271814.31821296</v>
      </c>
      <c r="F81" s="714">
        <v>695632.273489915</v>
      </c>
      <c r="G81" s="714">
        <v>11847996.362936</v>
      </c>
      <c r="H81" s="714">
        <v>4802606.93912326</v>
      </c>
      <c r="I81" s="714">
        <v>1469207.3790897</v>
      </c>
      <c r="J81" s="734">
        <v>719545.3888777</v>
      </c>
      <c r="K81" s="714">
        <v>52.9356536421047</v>
      </c>
      <c r="L81" s="714">
        <v>76.574443940038</v>
      </c>
      <c r="M81" s="734">
        <v>11.4726832200403</v>
      </c>
      <c r="N81" s="714">
        <v>2.181276784963</v>
      </c>
      <c r="O81" s="714">
        <v>-5.79214364849165</v>
      </c>
      <c r="P81" s="733"/>
      <c r="Q81" s="733"/>
      <c r="R81" s="733"/>
    </row>
    <row r="82" ht="15.6" spans="2:18">
      <c r="B82" s="742"/>
      <c r="C82" s="714" t="s">
        <v>382</v>
      </c>
      <c r="D82" s="714">
        <v>4579396.7758497</v>
      </c>
      <c r="E82" s="714">
        <v>5546703.84370833</v>
      </c>
      <c r="F82" s="714">
        <v>967307.067858635</v>
      </c>
      <c r="G82" s="714">
        <v>10126100.619558</v>
      </c>
      <c r="H82" s="714">
        <v>3965351.17741404</v>
      </c>
      <c r="I82" s="714">
        <v>1581352.66629429</v>
      </c>
      <c r="J82" s="734">
        <v>681783.719386533</v>
      </c>
      <c r="K82" s="714">
        <v>54.7763058268962</v>
      </c>
      <c r="L82" s="714">
        <v>71.4902271537711</v>
      </c>
      <c r="M82" s="734">
        <v>12.2916914008287</v>
      </c>
      <c r="N82" s="714">
        <v>-17.8757662658565</v>
      </c>
      <c r="O82" s="714">
        <v>-11.5614148907271</v>
      </c>
      <c r="P82" s="733"/>
      <c r="Q82" s="733"/>
      <c r="R82" s="733"/>
    </row>
    <row r="83" ht="15.6" spans="2:18">
      <c r="B83" s="742"/>
      <c r="C83" s="714" t="s">
        <v>383</v>
      </c>
      <c r="D83" s="714">
        <v>5392153.24686462</v>
      </c>
      <c r="E83" s="714">
        <v>6030007.55457191</v>
      </c>
      <c r="F83" s="714">
        <v>637854.307707291</v>
      </c>
      <c r="G83" s="714">
        <v>11422160.8014365</v>
      </c>
      <c r="H83" s="714">
        <v>4414195.38505239</v>
      </c>
      <c r="I83" s="714">
        <v>1615812.16951952</v>
      </c>
      <c r="J83" s="734">
        <v>693529.733563264</v>
      </c>
      <c r="K83" s="714">
        <v>52.7921788127299</v>
      </c>
      <c r="L83" s="714">
        <v>73.2038118543579</v>
      </c>
      <c r="M83" s="734">
        <v>11.5013078721176</v>
      </c>
      <c r="N83" s="714">
        <v>17.748112050503</v>
      </c>
      <c r="O83" s="714">
        <v>8.71334984671657</v>
      </c>
      <c r="P83" s="733"/>
      <c r="Q83" s="733"/>
      <c r="R83" s="733"/>
    </row>
    <row r="84" ht="15.6" spans="2:18">
      <c r="B84" s="742"/>
      <c r="C84" s="714" t="s">
        <v>384</v>
      </c>
      <c r="D84" s="714">
        <v>3997791.30104644</v>
      </c>
      <c r="E84" s="714">
        <v>6137695.83238929</v>
      </c>
      <c r="F84" s="714">
        <v>2139904.53134284</v>
      </c>
      <c r="G84" s="714">
        <v>10135487.1334357</v>
      </c>
      <c r="H84" s="714">
        <v>4229848.29409298</v>
      </c>
      <c r="I84" s="714">
        <v>1907847.53829631</v>
      </c>
      <c r="J84" s="734">
        <v>586692.627242036</v>
      </c>
      <c r="K84" s="714">
        <v>60.5564957222606</v>
      </c>
      <c r="L84" s="714">
        <v>68.9158995428155</v>
      </c>
      <c r="M84" s="734">
        <v>9.55884167713225</v>
      </c>
      <c r="N84" s="714">
        <v>-25.8590934267115</v>
      </c>
      <c r="O84" s="714">
        <v>1.78587301662209</v>
      </c>
      <c r="P84" s="733"/>
      <c r="Q84" s="733"/>
      <c r="R84" s="733"/>
    </row>
    <row r="85" ht="15.6" spans="2:18">
      <c r="B85" s="742"/>
      <c r="C85" s="714" t="s">
        <v>385</v>
      </c>
      <c r="D85" s="714">
        <v>4971869.47846028</v>
      </c>
      <c r="E85" s="714">
        <v>7094192.45418218</v>
      </c>
      <c r="F85" s="714">
        <v>2122322.9757219</v>
      </c>
      <c r="G85" s="714">
        <v>12066061.9326425</v>
      </c>
      <c r="H85" s="714">
        <v>4394083.47139463</v>
      </c>
      <c r="I85" s="714">
        <v>2700108.98278756</v>
      </c>
      <c r="J85" s="734">
        <v>1164602.5930115</v>
      </c>
      <c r="K85" s="714">
        <v>58.7945967274557</v>
      </c>
      <c r="L85" s="714">
        <v>61.9391636155038</v>
      </c>
      <c r="M85" s="734">
        <v>16.4162813531362</v>
      </c>
      <c r="N85" s="714">
        <v>24.365408398354</v>
      </c>
      <c r="O85" s="714">
        <v>15.5839690970895</v>
      </c>
      <c r="P85" s="733"/>
      <c r="Q85" s="733"/>
      <c r="R85" s="733"/>
    </row>
    <row r="86" ht="15.6" spans="2:18">
      <c r="B86" s="742"/>
      <c r="C86" s="714" t="s">
        <v>386</v>
      </c>
      <c r="D86" s="714">
        <v>5545915.17784988</v>
      </c>
      <c r="E86" s="714">
        <v>7345006.78541366</v>
      </c>
      <c r="F86" s="714">
        <v>1799091.60756378</v>
      </c>
      <c r="G86" s="714">
        <v>12890921.9632635</v>
      </c>
      <c r="H86" s="714">
        <v>5107035.9023227</v>
      </c>
      <c r="I86" s="714">
        <v>2237970.88309096</v>
      </c>
      <c r="J86" s="734">
        <v>676698.744725804</v>
      </c>
      <c r="K86" s="714">
        <v>56.9781339639275</v>
      </c>
      <c r="L86" s="714">
        <v>69.5307172821772</v>
      </c>
      <c r="M86" s="734">
        <v>9.21304451439922</v>
      </c>
      <c r="N86" s="714">
        <v>11.5458722695065</v>
      </c>
      <c r="O86" s="714">
        <v>3.53548811723614</v>
      </c>
      <c r="P86" s="733"/>
      <c r="Q86" s="733"/>
      <c r="R86" s="733"/>
    </row>
    <row r="87" ht="15.6" spans="2:18">
      <c r="B87" s="742"/>
      <c r="C87" s="714" t="s">
        <v>387</v>
      </c>
      <c r="D87" s="714">
        <v>4763393.18057143</v>
      </c>
      <c r="E87" s="714">
        <v>6097969.56100895</v>
      </c>
      <c r="F87" s="714">
        <v>1334576.38043752</v>
      </c>
      <c r="G87" s="714">
        <v>10861362.7415804</v>
      </c>
      <c r="H87" s="714">
        <v>3905247.85038826</v>
      </c>
      <c r="I87" s="714">
        <v>2192721.71062069</v>
      </c>
      <c r="J87" s="734">
        <v>668958.70997671</v>
      </c>
      <c r="K87" s="714">
        <v>56.1436875472743</v>
      </c>
      <c r="L87" s="714">
        <v>64.041773434863</v>
      </c>
      <c r="M87" s="734">
        <v>10.9701877532171</v>
      </c>
      <c r="N87" s="714">
        <v>-14.1098803747272</v>
      </c>
      <c r="O87" s="714">
        <v>-16.9780268533064</v>
      </c>
      <c r="P87" s="733"/>
      <c r="Q87" s="733"/>
      <c r="R87" s="733"/>
    </row>
    <row r="88" ht="15.6" spans="2:18">
      <c r="B88" s="742"/>
      <c r="C88" s="714" t="s">
        <v>388</v>
      </c>
      <c r="D88" s="714">
        <v>5484068.41516227</v>
      </c>
      <c r="E88" s="714">
        <v>6528662.89972365</v>
      </c>
      <c r="F88" s="714">
        <v>1044594.48456138</v>
      </c>
      <c r="G88" s="714">
        <v>12012731.3148859</v>
      </c>
      <c r="H88" s="714">
        <v>4831136.31914123</v>
      </c>
      <c r="I88" s="714">
        <v>1697526.58058242</v>
      </c>
      <c r="J88" s="734">
        <v>858158.648596127</v>
      </c>
      <c r="K88" s="714">
        <v>54.3478641833391</v>
      </c>
      <c r="L88" s="714">
        <v>73.9988630649888</v>
      </c>
      <c r="M88" s="734">
        <v>13.1444778475613</v>
      </c>
      <c r="N88" s="714">
        <v>15.129450945395</v>
      </c>
      <c r="O88" s="714">
        <v>7.06289748424787</v>
      </c>
      <c r="P88" s="733"/>
      <c r="Q88" s="733"/>
      <c r="R88" s="733"/>
    </row>
    <row r="89" ht="15.6" spans="2:18">
      <c r="B89" s="742"/>
      <c r="C89" s="714" t="s">
        <v>389</v>
      </c>
      <c r="D89" s="714">
        <v>5667962.44493265</v>
      </c>
      <c r="E89" s="714">
        <v>6506990.55667567</v>
      </c>
      <c r="F89" s="714">
        <v>839028.111743019</v>
      </c>
      <c r="G89" s="714">
        <v>12174953.0016083</v>
      </c>
      <c r="H89" s="714">
        <v>4437799.64499823</v>
      </c>
      <c r="I89" s="714">
        <v>2069190.91167744</v>
      </c>
      <c r="J89" s="734">
        <v>974675.741991608</v>
      </c>
      <c r="K89" s="714">
        <v>53.4457139655167</v>
      </c>
      <c r="L89" s="714">
        <v>68.2004930903948</v>
      </c>
      <c r="M89" s="734">
        <v>14.9789020516046</v>
      </c>
      <c r="N89" s="714">
        <v>3.35324098550539</v>
      </c>
      <c r="O89" s="714">
        <v>-0.331956839874494</v>
      </c>
      <c r="P89" s="733"/>
      <c r="Q89" s="733"/>
      <c r="R89" s="733"/>
    </row>
    <row r="90" ht="15.6" spans="2:18">
      <c r="B90" s="742"/>
      <c r="C90" s="714" t="s">
        <v>390</v>
      </c>
      <c r="D90" s="714">
        <v>5438474.67242087</v>
      </c>
      <c r="E90" s="714">
        <v>6978675.66329887</v>
      </c>
      <c r="F90" s="714">
        <v>1540200.990878</v>
      </c>
      <c r="G90" s="714">
        <v>12417150.3357197</v>
      </c>
      <c r="H90" s="714">
        <v>4514067.53238859</v>
      </c>
      <c r="I90" s="714">
        <v>2464608.13091028</v>
      </c>
      <c r="J90" s="734">
        <v>1009688.47067968</v>
      </c>
      <c r="K90" s="714">
        <v>56.2019100568002</v>
      </c>
      <c r="L90" s="714">
        <v>64.6837272597184</v>
      </c>
      <c r="M90" s="734">
        <v>14.4681959643098</v>
      </c>
      <c r="N90" s="714">
        <v>-4.04885838149738</v>
      </c>
      <c r="O90" s="714">
        <v>7.24889797387662</v>
      </c>
      <c r="P90" s="733"/>
      <c r="Q90" s="733"/>
      <c r="R90" s="733"/>
    </row>
    <row r="91" ht="15.6" spans="2:18">
      <c r="B91" s="743">
        <v>2025</v>
      </c>
      <c r="C91" s="715" t="s">
        <v>379</v>
      </c>
      <c r="D91" s="715">
        <v>5493728.4805547</v>
      </c>
      <c r="E91" s="715">
        <v>6791847.34638656</v>
      </c>
      <c r="F91" s="715">
        <v>1298118.86583186</v>
      </c>
      <c r="G91" s="715">
        <v>12285575.8269413</v>
      </c>
      <c r="H91" s="715">
        <v>4206403.27270936</v>
      </c>
      <c r="I91" s="715">
        <v>2585444.0736772</v>
      </c>
      <c r="J91" s="715">
        <v>1227701.19926115</v>
      </c>
      <c r="K91" s="715">
        <v>55.2831014358529</v>
      </c>
      <c r="L91" s="736">
        <v>61.9331244973767</v>
      </c>
      <c r="M91" s="735">
        <v>18.0761011937984</v>
      </c>
      <c r="N91" s="715">
        <v>1.01597987417369</v>
      </c>
      <c r="O91" s="715">
        <v>-2.67713139177472</v>
      </c>
      <c r="P91" s="733"/>
      <c r="Q91" s="733"/>
      <c r="R91" s="733"/>
    </row>
    <row r="92" ht="15.6" spans="2:18">
      <c r="B92" s="744"/>
      <c r="C92" s="715" t="s">
        <v>380</v>
      </c>
      <c r="D92" s="715">
        <v>5134191.14241054</v>
      </c>
      <c r="E92" s="715">
        <v>7014759.68697943</v>
      </c>
      <c r="F92" s="715">
        <v>1880568.54456889</v>
      </c>
      <c r="G92" s="715">
        <v>12148950.82939</v>
      </c>
      <c r="H92" s="715">
        <v>4291523.90575292</v>
      </c>
      <c r="I92" s="715">
        <v>2723235.78122651</v>
      </c>
      <c r="J92" s="715">
        <v>964727.42772316</v>
      </c>
      <c r="K92" s="715">
        <v>57.739633532879</v>
      </c>
      <c r="L92" s="736">
        <v>61.1784878920187</v>
      </c>
      <c r="M92" s="735">
        <v>13.7528222030736</v>
      </c>
      <c r="N92" s="715">
        <v>-6.54450505547842</v>
      </c>
      <c r="O92" s="715">
        <v>3.28205757909842</v>
      </c>
      <c r="P92" s="733"/>
      <c r="Q92" s="733"/>
      <c r="R92" s="733"/>
    </row>
    <row r="93" ht="15.6" spans="2:18">
      <c r="B93" s="744"/>
      <c r="C93" s="715" t="s">
        <v>391</v>
      </c>
      <c r="D93" s="715">
        <v>4798255.12207838</v>
      </c>
      <c r="E93" s="715">
        <v>6791873.71927365</v>
      </c>
      <c r="F93" s="715">
        <v>1993618.59719527</v>
      </c>
      <c r="G93" s="715">
        <v>11590128.841352</v>
      </c>
      <c r="H93" s="715">
        <v>4457101.02400452</v>
      </c>
      <c r="I93" s="715">
        <v>2334772.69526913</v>
      </c>
      <c r="J93" s="715">
        <v>975447.198682851</v>
      </c>
      <c r="K93" s="715">
        <v>58.6005023088368</v>
      </c>
      <c r="L93" s="736">
        <v>65.6240267152844</v>
      </c>
      <c r="M93" s="735">
        <v>14.361974898249</v>
      </c>
      <c r="N93" s="715">
        <v>-6.54311479674354</v>
      </c>
      <c r="O93" s="715">
        <v>-3.17738565042357</v>
      </c>
      <c r="P93" s="733"/>
      <c r="Q93" s="733"/>
      <c r="R93" s="733"/>
    </row>
    <row r="94" ht="21.75" customHeight="1" spans="3:15">
      <c r="C94" s="745"/>
      <c r="D94" s="746"/>
      <c r="E94" s="746"/>
      <c r="F94" s="746"/>
      <c r="G94" s="746"/>
      <c r="H94" s="746"/>
      <c r="I94" s="746"/>
      <c r="J94" s="746"/>
      <c r="K94" s="750"/>
      <c r="L94" s="750"/>
      <c r="M94" s="751"/>
      <c r="N94" s="750"/>
      <c r="O94" s="750"/>
    </row>
    <row r="95" ht="21.75" customHeight="1" spans="3:15">
      <c r="C95" s="747"/>
      <c r="D95" s="748"/>
      <c r="E95" s="748"/>
      <c r="F95" s="748"/>
      <c r="G95" s="748"/>
      <c r="H95" s="748"/>
      <c r="I95" s="748"/>
      <c r="J95" s="748"/>
      <c r="K95" s="750"/>
      <c r="L95" s="750"/>
      <c r="M95" s="751"/>
      <c r="N95" s="750"/>
      <c r="O95" s="750"/>
    </row>
    <row r="96" ht="21.75" customHeight="1" spans="4:10">
      <c r="D96" s="749"/>
      <c r="E96" s="749"/>
      <c r="F96" s="749"/>
      <c r="G96" s="749"/>
      <c r="H96" s="749"/>
      <c r="I96" s="749"/>
      <c r="J96" s="749"/>
    </row>
    <row r="97" ht="18" customHeight="1" spans="3:10">
      <c r="C97" s="703"/>
      <c r="D97" s="749"/>
      <c r="E97" s="749"/>
      <c r="F97" s="748"/>
      <c r="H97" s="749"/>
      <c r="J97" s="749"/>
    </row>
    <row r="98" ht="42" customHeight="1" spans="3:10">
      <c r="C98" s="745"/>
      <c r="D98" s="749"/>
      <c r="E98" s="749"/>
      <c r="F98" s="749"/>
      <c r="H98" s="749"/>
      <c r="J98" s="749"/>
    </row>
    <row r="99" spans="4:10">
      <c r="D99" s="749"/>
      <c r="E99" s="749"/>
      <c r="F99" s="749"/>
      <c r="H99" s="749"/>
      <c r="J99" s="749"/>
    </row>
    <row r="100" spans="6:10">
      <c r="F100" s="749"/>
      <c r="H100" s="749"/>
      <c r="J100" s="749"/>
    </row>
    <row r="101" spans="8:8">
      <c r="H101" s="749"/>
    </row>
    <row r="102" spans="8:8">
      <c r="H102" s="749"/>
    </row>
    <row r="103" spans="8:8">
      <c r="H103" s="749"/>
    </row>
    <row r="104" spans="8:8">
      <c r="H104" s="749"/>
    </row>
    <row r="105" spans="8:8">
      <c r="H105" s="749"/>
    </row>
    <row r="106" spans="8:8">
      <c r="H106" s="749"/>
    </row>
    <row r="107" spans="8:8">
      <c r="H107" s="749"/>
    </row>
    <row r="108" spans="8:8">
      <c r="H108" s="749"/>
    </row>
    <row r="109" spans="8:8">
      <c r="H109" s="749"/>
    </row>
    <row r="110" spans="8:8">
      <c r="H110" s="749"/>
    </row>
    <row r="111" spans="8:8">
      <c r="H111" s="749"/>
    </row>
    <row r="112" spans="8:8">
      <c r="H112" s="749"/>
    </row>
    <row r="113" spans="8:8">
      <c r="H113" s="749"/>
    </row>
    <row r="114" spans="8:8">
      <c r="H114" s="749"/>
    </row>
    <row r="115" spans="8:8">
      <c r="H115" s="749"/>
    </row>
    <row r="116" spans="8:8">
      <c r="H116" s="749"/>
    </row>
    <row r="117" spans="8:8">
      <c r="H117" s="749"/>
    </row>
    <row r="118" spans="8:8">
      <c r="H118" s="749"/>
    </row>
    <row r="119" spans="8:8">
      <c r="H119" s="749"/>
    </row>
    <row r="120" spans="8:8">
      <c r="H120" s="749"/>
    </row>
    <row r="121" spans="8:8">
      <c r="H121" s="749"/>
    </row>
    <row r="122" spans="8:8">
      <c r="H122" s="749"/>
    </row>
    <row r="123" spans="8:8">
      <c r="H123" s="749"/>
    </row>
    <row r="124" spans="8:8">
      <c r="H124" s="749"/>
    </row>
    <row r="125" spans="8:8">
      <c r="H125" s="749"/>
    </row>
    <row r="126" spans="8:8">
      <c r="H126" s="749"/>
    </row>
    <row r="127" spans="8:8">
      <c r="H127" s="749"/>
    </row>
    <row r="128" spans="8:8">
      <c r="H128" s="749"/>
    </row>
    <row r="129" spans="8:8">
      <c r="H129" s="749"/>
    </row>
  </sheetData>
  <mergeCells count="1">
    <mergeCell ref="B2:O2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zoomScale="65" zoomScaleNormal="65" workbookViewId="0">
      <selection activeCell="I3" sqref="I3"/>
    </sheetView>
  </sheetViews>
  <sheetFormatPr defaultColWidth="8.81481481481481" defaultRowHeight="17.4"/>
  <cols>
    <col min="1" max="1" width="4.17592592592593" customWidth="1"/>
    <col min="2" max="2" width="65.2685185185185" customWidth="1"/>
    <col min="3" max="5" width="19.7222222222222" style="679" customWidth="1"/>
    <col min="6" max="7" width="19.7222222222222" style="680" customWidth="1"/>
    <col min="8" max="11" width="18.2685185185185" style="681" customWidth="1"/>
    <col min="12" max="13" width="19.0925925925926" style="681" customWidth="1"/>
    <col min="14" max="14" width="26.7222222222222" customWidth="1"/>
  </cols>
  <sheetData>
    <row r="1" spans="1:13">
      <c r="A1" s="682" t="s">
        <v>395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94"/>
    </row>
    <row r="2" spans="1:13">
      <c r="A2" s="45"/>
      <c r="B2" s="45"/>
      <c r="C2" s="46">
        <v>2020</v>
      </c>
      <c r="D2" s="46">
        <v>2021</v>
      </c>
      <c r="E2" s="46">
        <v>2022</v>
      </c>
      <c r="F2" s="46">
        <v>2023</v>
      </c>
      <c r="G2" s="46">
        <v>2024</v>
      </c>
      <c r="H2" s="290" t="s">
        <v>396</v>
      </c>
      <c r="I2" s="290" t="s">
        <v>397</v>
      </c>
      <c r="J2" s="290" t="s">
        <v>398</v>
      </c>
      <c r="K2" s="290" t="s">
        <v>399</v>
      </c>
      <c r="L2" s="290" t="s">
        <v>400</v>
      </c>
      <c r="M2" s="290" t="s">
        <v>401</v>
      </c>
    </row>
    <row r="3" spans="1:13">
      <c r="A3" s="45"/>
      <c r="B3" s="45" t="s">
        <v>402</v>
      </c>
      <c r="C3" s="684"/>
      <c r="D3" s="685"/>
      <c r="E3" s="685"/>
      <c r="F3" s="129"/>
      <c r="G3" s="129"/>
      <c r="H3" s="686"/>
      <c r="I3" s="686"/>
      <c r="J3" s="686"/>
      <c r="K3" s="686"/>
      <c r="L3" s="151"/>
      <c r="M3" s="151"/>
    </row>
    <row r="4" spans="1:13">
      <c r="A4" s="45">
        <v>1</v>
      </c>
      <c r="B4" s="45" t="s">
        <v>403</v>
      </c>
      <c r="C4" s="687">
        <v>454519.497526</v>
      </c>
      <c r="D4" s="687">
        <v>551225.96482</v>
      </c>
      <c r="E4" s="687">
        <v>549643.085907</v>
      </c>
      <c r="F4" s="688">
        <v>597473.381483</v>
      </c>
      <c r="G4" s="688">
        <v>1491496.778542</v>
      </c>
      <c r="H4" s="687">
        <v>106660.739534</v>
      </c>
      <c r="I4" s="688">
        <v>110083.954654</v>
      </c>
      <c r="J4" s="688">
        <v>119889.124013</v>
      </c>
      <c r="K4" s="688">
        <v>122470.76342</v>
      </c>
      <c r="L4" s="151">
        <v>240559.64504</v>
      </c>
      <c r="M4" s="275">
        <v>392993.612271</v>
      </c>
    </row>
    <row r="5" spans="1:13">
      <c r="A5" s="45">
        <v>2</v>
      </c>
      <c r="B5" s="45" t="s">
        <v>404</v>
      </c>
      <c r="C5" s="687">
        <v>749386.854841</v>
      </c>
      <c r="D5" s="687">
        <v>1351406.417473</v>
      </c>
      <c r="E5" s="687">
        <v>1313469.356176</v>
      </c>
      <c r="F5" s="688">
        <v>1629759.274952</v>
      </c>
      <c r="G5" s="688">
        <v>2386069.187558</v>
      </c>
      <c r="H5" s="687">
        <v>170274.603226</v>
      </c>
      <c r="I5" s="688">
        <v>250784.387747</v>
      </c>
      <c r="J5" s="688">
        <v>336873.193748</v>
      </c>
      <c r="K5" s="688">
        <v>343952.15303</v>
      </c>
      <c r="L5" s="151">
        <v>690331.719754</v>
      </c>
      <c r="M5" s="275">
        <v>664103.966919</v>
      </c>
    </row>
    <row r="6" spans="1:13">
      <c r="A6" s="45">
        <v>3</v>
      </c>
      <c r="B6" s="45" t="s">
        <v>405</v>
      </c>
      <c r="C6" s="687">
        <v>119809.029932</v>
      </c>
      <c r="D6" s="687">
        <v>262284.390879</v>
      </c>
      <c r="E6" s="687">
        <v>165868.280413</v>
      </c>
      <c r="F6" s="688">
        <v>214600.121065</v>
      </c>
      <c r="G6" s="688">
        <v>363264.12981</v>
      </c>
      <c r="H6" s="687">
        <v>30016.044303</v>
      </c>
      <c r="I6" s="688">
        <v>86208.230471</v>
      </c>
      <c r="J6" s="688">
        <v>29108.126919</v>
      </c>
      <c r="K6" s="688">
        <v>42363.728042</v>
      </c>
      <c r="L6" s="151">
        <v>66764.477948</v>
      </c>
      <c r="M6" s="275">
        <v>102472.055284</v>
      </c>
    </row>
    <row r="7" spans="1:13">
      <c r="A7" s="45">
        <v>4</v>
      </c>
      <c r="B7" s="45" t="s">
        <v>406</v>
      </c>
      <c r="C7" s="687">
        <v>594083.168002</v>
      </c>
      <c r="D7" s="687">
        <v>903476.955343</v>
      </c>
      <c r="E7" s="687">
        <v>976579.816482</v>
      </c>
      <c r="F7" s="688">
        <v>1514538.958059</v>
      </c>
      <c r="G7" s="688">
        <v>2794111.017188</v>
      </c>
      <c r="H7" s="687">
        <v>129263.895806</v>
      </c>
      <c r="I7" s="688">
        <v>179901.079259</v>
      </c>
      <c r="J7" s="688">
        <v>231572.979444</v>
      </c>
      <c r="K7" s="688">
        <v>253102.052566</v>
      </c>
      <c r="L7" s="151">
        <v>683483.102881</v>
      </c>
      <c r="M7" s="275">
        <v>668347.149939</v>
      </c>
    </row>
    <row r="8" spans="1:13">
      <c r="A8" s="45">
        <v>5</v>
      </c>
      <c r="B8" s="45" t="s">
        <v>407</v>
      </c>
      <c r="C8" s="687">
        <v>2965201.739779</v>
      </c>
      <c r="D8" s="687">
        <v>6563003.46797492</v>
      </c>
      <c r="E8" s="687">
        <v>10319786.0032812</v>
      </c>
      <c r="F8" s="688">
        <v>12191990.8189566</v>
      </c>
      <c r="G8" s="688">
        <v>23389538.5847918</v>
      </c>
      <c r="H8" s="687">
        <v>1184546.385982</v>
      </c>
      <c r="I8" s="688">
        <v>1720912.07298092</v>
      </c>
      <c r="J8" s="688">
        <v>3540637.29690254</v>
      </c>
      <c r="K8" s="688">
        <v>3042527.48777116</v>
      </c>
      <c r="L8" s="151">
        <v>6620476.84217565</v>
      </c>
      <c r="M8" s="275">
        <v>5066500.07839562</v>
      </c>
    </row>
    <row r="9" spans="1:13">
      <c r="A9" s="45">
        <v>6</v>
      </c>
      <c r="B9" s="45" t="s">
        <v>408</v>
      </c>
      <c r="C9" s="687">
        <v>1456617.896422</v>
      </c>
      <c r="D9" s="687">
        <v>1799433.241627</v>
      </c>
      <c r="E9" s="687">
        <v>2215190.641645</v>
      </c>
      <c r="F9" s="688">
        <v>2333441.796393</v>
      </c>
      <c r="G9" s="688">
        <v>5333454.786051</v>
      </c>
      <c r="H9" s="687">
        <v>277873.744306</v>
      </c>
      <c r="I9" s="688">
        <v>493766.934419</v>
      </c>
      <c r="J9" s="688">
        <v>517590.717736</v>
      </c>
      <c r="K9" s="688">
        <v>430462.52056</v>
      </c>
      <c r="L9" s="151">
        <v>1177318.583684</v>
      </c>
      <c r="M9" s="275">
        <v>1420860.498221</v>
      </c>
    </row>
    <row r="10" spans="1:13">
      <c r="A10" s="45">
        <v>7</v>
      </c>
      <c r="B10" s="45" t="s">
        <v>409</v>
      </c>
      <c r="C10" s="687">
        <v>609211.148272</v>
      </c>
      <c r="D10" s="687">
        <v>1161272.635921</v>
      </c>
      <c r="E10" s="687">
        <v>1186872.705176</v>
      </c>
      <c r="F10" s="688">
        <v>1299377.834247</v>
      </c>
      <c r="G10" s="688">
        <v>3456317.139737</v>
      </c>
      <c r="H10" s="687">
        <v>133798.88546</v>
      </c>
      <c r="I10" s="688">
        <v>183263.955233</v>
      </c>
      <c r="J10" s="688">
        <v>322037.903359</v>
      </c>
      <c r="K10" s="688">
        <v>228069.849408</v>
      </c>
      <c r="L10" s="151">
        <v>700252.910911</v>
      </c>
      <c r="M10" s="275">
        <v>1003737.801907</v>
      </c>
    </row>
    <row r="11" spans="1:13">
      <c r="A11" s="45">
        <v>8</v>
      </c>
      <c r="B11" s="45" t="s">
        <v>410</v>
      </c>
      <c r="C11" s="687">
        <v>29692.97172</v>
      </c>
      <c r="D11" s="687">
        <v>36099.356985</v>
      </c>
      <c r="E11" s="687">
        <v>59555.082733</v>
      </c>
      <c r="F11" s="688">
        <v>89686.614878</v>
      </c>
      <c r="G11" s="688">
        <v>157239.574849</v>
      </c>
      <c r="H11" s="687">
        <v>6852.362657</v>
      </c>
      <c r="I11" s="688">
        <v>7680.57601</v>
      </c>
      <c r="J11" s="688">
        <v>11824.210546</v>
      </c>
      <c r="K11" s="688">
        <v>21337.74022</v>
      </c>
      <c r="L11" s="151">
        <v>36948.690444</v>
      </c>
      <c r="M11" s="275">
        <v>109742.804187</v>
      </c>
    </row>
    <row r="12" spans="1:13">
      <c r="A12" s="45">
        <v>9</v>
      </c>
      <c r="B12" s="45" t="s">
        <v>411</v>
      </c>
      <c r="C12" s="687">
        <v>51499.727449</v>
      </c>
      <c r="D12" s="687">
        <v>59339.877506</v>
      </c>
      <c r="E12" s="687">
        <v>105609.779738</v>
      </c>
      <c r="F12" s="688">
        <v>175120.886258</v>
      </c>
      <c r="G12" s="688">
        <v>516939.52002</v>
      </c>
      <c r="H12" s="687">
        <v>8166.844859</v>
      </c>
      <c r="I12" s="688">
        <v>13244.809212</v>
      </c>
      <c r="J12" s="688">
        <v>29224.847339</v>
      </c>
      <c r="K12" s="688">
        <v>23646.582582</v>
      </c>
      <c r="L12" s="151">
        <v>104805.116469</v>
      </c>
      <c r="M12" s="275">
        <v>133281.922172</v>
      </c>
    </row>
    <row r="13" spans="1:13">
      <c r="A13" s="45">
        <v>10</v>
      </c>
      <c r="B13" s="45" t="s">
        <v>412</v>
      </c>
      <c r="C13" s="687">
        <v>188638.795237</v>
      </c>
      <c r="D13" s="687">
        <v>328923.404911</v>
      </c>
      <c r="E13" s="687">
        <v>412234.112223</v>
      </c>
      <c r="F13" s="688">
        <v>573113.14162</v>
      </c>
      <c r="G13" s="688">
        <v>948163.78555</v>
      </c>
      <c r="H13" s="687">
        <v>51787.243623</v>
      </c>
      <c r="I13" s="688">
        <v>49059.635934</v>
      </c>
      <c r="J13" s="688">
        <v>110809.664805</v>
      </c>
      <c r="K13" s="688">
        <v>78454.886332</v>
      </c>
      <c r="L13" s="151">
        <v>172414.730201</v>
      </c>
      <c r="M13" s="275">
        <v>227950.747769</v>
      </c>
    </row>
    <row r="14" spans="1:13">
      <c r="A14" s="45">
        <v>11</v>
      </c>
      <c r="B14" s="45" t="s">
        <v>413</v>
      </c>
      <c r="C14" s="687">
        <v>182534.162692</v>
      </c>
      <c r="D14" s="687">
        <v>278767.270923</v>
      </c>
      <c r="E14" s="687">
        <v>365463.117392</v>
      </c>
      <c r="F14" s="688">
        <v>377467.543577</v>
      </c>
      <c r="G14" s="688">
        <v>726175.562187</v>
      </c>
      <c r="H14" s="687">
        <v>38954.863976</v>
      </c>
      <c r="I14" s="688">
        <v>87706.845243</v>
      </c>
      <c r="J14" s="688">
        <v>92618.451797</v>
      </c>
      <c r="K14" s="688">
        <v>70478.844668</v>
      </c>
      <c r="L14" s="151">
        <v>178447.873727</v>
      </c>
      <c r="M14" s="275">
        <v>228833.906689</v>
      </c>
    </row>
    <row r="15" spans="1:13">
      <c r="A15" s="45">
        <v>12</v>
      </c>
      <c r="B15" s="45" t="s">
        <v>414</v>
      </c>
      <c r="C15" s="687">
        <v>23479.477274</v>
      </c>
      <c r="D15" s="687">
        <v>25845.560186</v>
      </c>
      <c r="E15" s="687">
        <v>25233.645226</v>
      </c>
      <c r="F15" s="688">
        <v>27894.970807</v>
      </c>
      <c r="G15" s="688">
        <v>64665.793498</v>
      </c>
      <c r="H15" s="687">
        <v>6343.474595</v>
      </c>
      <c r="I15" s="688">
        <v>6525.565997</v>
      </c>
      <c r="J15" s="688">
        <v>8302.732739</v>
      </c>
      <c r="K15" s="688">
        <v>4033.934549</v>
      </c>
      <c r="L15" s="151">
        <v>14363.770382</v>
      </c>
      <c r="M15" s="275">
        <v>20844.549632</v>
      </c>
    </row>
    <row r="16" spans="1:13">
      <c r="A16" s="45">
        <v>13</v>
      </c>
      <c r="B16" s="45" t="s">
        <v>415</v>
      </c>
      <c r="C16" s="687">
        <v>71439.648653</v>
      </c>
      <c r="D16" s="687">
        <v>100988.289986</v>
      </c>
      <c r="E16" s="687">
        <v>117187.15795</v>
      </c>
      <c r="F16" s="688">
        <v>185552.874449</v>
      </c>
      <c r="G16" s="688">
        <v>301244.682887</v>
      </c>
      <c r="H16" s="687">
        <v>18988.449845</v>
      </c>
      <c r="I16" s="688">
        <v>18486.872612</v>
      </c>
      <c r="J16" s="688">
        <v>26397.377635</v>
      </c>
      <c r="K16" s="688">
        <v>30108.793986</v>
      </c>
      <c r="L16" s="151">
        <v>59277.43044</v>
      </c>
      <c r="M16" s="275">
        <v>83911.066063</v>
      </c>
    </row>
    <row r="17" spans="1:13">
      <c r="A17" s="45">
        <v>14</v>
      </c>
      <c r="B17" s="45" t="s">
        <v>416</v>
      </c>
      <c r="C17" s="687">
        <v>1296.488674</v>
      </c>
      <c r="D17" s="687">
        <v>1287.984831</v>
      </c>
      <c r="E17" s="687">
        <v>274533.658042</v>
      </c>
      <c r="F17" s="688">
        <v>233359.035198</v>
      </c>
      <c r="G17" s="688">
        <v>458446.983923</v>
      </c>
      <c r="H17" s="687">
        <v>261.11353</v>
      </c>
      <c r="I17" s="688">
        <v>311.286363</v>
      </c>
      <c r="J17" s="688">
        <v>58816.315421</v>
      </c>
      <c r="K17" s="688">
        <v>40073.461413</v>
      </c>
      <c r="L17" s="151">
        <v>66317.413846</v>
      </c>
      <c r="M17" s="275">
        <v>171069.869541</v>
      </c>
    </row>
    <row r="18" spans="1:13">
      <c r="A18" s="45">
        <v>15</v>
      </c>
      <c r="B18" s="45" t="s">
        <v>417</v>
      </c>
      <c r="C18" s="687">
        <v>672496.865196</v>
      </c>
      <c r="D18" s="687">
        <v>1060164.240798</v>
      </c>
      <c r="E18" s="687">
        <v>851393.902606</v>
      </c>
      <c r="F18" s="688">
        <v>968014.497864</v>
      </c>
      <c r="G18" s="688">
        <v>2458453.941492</v>
      </c>
      <c r="H18" s="687">
        <v>202799.106322</v>
      </c>
      <c r="I18" s="688">
        <v>216826.960066</v>
      </c>
      <c r="J18" s="688">
        <v>201081.29311</v>
      </c>
      <c r="K18" s="688">
        <v>193911.654763</v>
      </c>
      <c r="L18" s="151">
        <v>590198.89356</v>
      </c>
      <c r="M18" s="275">
        <v>725737.116843</v>
      </c>
    </row>
    <row r="19" spans="1:13">
      <c r="A19" s="45">
        <v>16</v>
      </c>
      <c r="B19" s="45" t="s">
        <v>418</v>
      </c>
      <c r="C19" s="687">
        <v>3029165.917338</v>
      </c>
      <c r="D19" s="687">
        <v>4195174.562417</v>
      </c>
      <c r="E19" s="687">
        <v>4336996.366172</v>
      </c>
      <c r="F19" s="688">
        <v>5043325.432045</v>
      </c>
      <c r="G19" s="688">
        <v>9723746.249174</v>
      </c>
      <c r="H19" s="687">
        <v>792643.409544</v>
      </c>
      <c r="I19" s="688">
        <v>955189.625768</v>
      </c>
      <c r="J19" s="688">
        <v>1223791.940767</v>
      </c>
      <c r="K19" s="688">
        <v>891361.504566</v>
      </c>
      <c r="L19" s="151">
        <v>2290932.1923</v>
      </c>
      <c r="M19" s="275">
        <v>2867528.90792</v>
      </c>
    </row>
    <row r="20" spans="1:13">
      <c r="A20" s="45">
        <v>17</v>
      </c>
      <c r="B20" s="45" t="s">
        <v>419</v>
      </c>
      <c r="C20" s="687">
        <v>1149412.316784</v>
      </c>
      <c r="D20" s="687">
        <v>1555881.214092</v>
      </c>
      <c r="E20" s="687">
        <v>1680757.481866</v>
      </c>
      <c r="F20" s="688">
        <v>2746286.11331174</v>
      </c>
      <c r="G20" s="688">
        <v>4488801.955349</v>
      </c>
      <c r="H20" s="687">
        <v>317066.878742</v>
      </c>
      <c r="I20" s="688">
        <v>330728.760717</v>
      </c>
      <c r="J20" s="688">
        <v>456320.21929</v>
      </c>
      <c r="K20" s="688">
        <v>396992.360072</v>
      </c>
      <c r="L20" s="151">
        <v>850627.393501</v>
      </c>
      <c r="M20" s="275">
        <v>1218253.778578</v>
      </c>
    </row>
    <row r="21" spans="1:13">
      <c r="A21" s="45">
        <v>18</v>
      </c>
      <c r="B21" s="45" t="s">
        <v>420</v>
      </c>
      <c r="C21" s="687">
        <v>263963.306882</v>
      </c>
      <c r="D21" s="687">
        <v>446706.804135</v>
      </c>
      <c r="E21" s="687">
        <v>522958.244641</v>
      </c>
      <c r="F21" s="688">
        <v>363906.058356</v>
      </c>
      <c r="G21" s="688">
        <v>637374.450671</v>
      </c>
      <c r="H21" s="687">
        <v>59560.671087</v>
      </c>
      <c r="I21" s="688">
        <v>108061.08684</v>
      </c>
      <c r="J21" s="688">
        <v>138860.239292</v>
      </c>
      <c r="K21" s="688">
        <v>108389.540795</v>
      </c>
      <c r="L21" s="151">
        <v>122240.411907</v>
      </c>
      <c r="M21" s="275">
        <v>205264.276012</v>
      </c>
    </row>
    <row r="22" spans="1:13">
      <c r="A22" s="689">
        <v>19</v>
      </c>
      <c r="B22" s="45" t="s">
        <v>421</v>
      </c>
      <c r="C22" s="687">
        <v>29236.391164</v>
      </c>
      <c r="D22" s="687">
        <v>72497.135401</v>
      </c>
      <c r="E22" s="687">
        <v>28239.038345</v>
      </c>
      <c r="F22" s="688">
        <v>127162.180402</v>
      </c>
      <c r="G22" s="688">
        <v>520015.176216</v>
      </c>
      <c r="H22" s="687">
        <v>26730.41657</v>
      </c>
      <c r="I22" s="688">
        <v>37093.887178</v>
      </c>
      <c r="J22" s="688">
        <v>4897.329495</v>
      </c>
      <c r="K22" s="688">
        <v>114909.857753</v>
      </c>
      <c r="L22" s="151">
        <v>10718.526912</v>
      </c>
      <c r="M22" s="275">
        <v>22077.45673</v>
      </c>
    </row>
    <row r="23" spans="1:13">
      <c r="A23" s="45">
        <v>20</v>
      </c>
      <c r="B23" s="45" t="s">
        <v>422</v>
      </c>
      <c r="C23" s="687">
        <v>59157.3559</v>
      </c>
      <c r="D23" s="687">
        <v>89967.326616</v>
      </c>
      <c r="E23" s="687">
        <v>151408.923087</v>
      </c>
      <c r="F23" s="688">
        <v>167307.923631</v>
      </c>
      <c r="G23" s="688">
        <v>366292.22401</v>
      </c>
      <c r="H23" s="687">
        <v>13952.372011</v>
      </c>
      <c r="I23" s="688">
        <v>19308.676771</v>
      </c>
      <c r="J23" s="688">
        <v>35019.247732</v>
      </c>
      <c r="K23" s="688">
        <v>28639.678129</v>
      </c>
      <c r="L23" s="151">
        <v>72654.703892</v>
      </c>
      <c r="M23" s="275">
        <v>91573.81726</v>
      </c>
    </row>
    <row r="24" spans="1:13">
      <c r="A24" s="45">
        <v>21</v>
      </c>
      <c r="B24" s="45" t="s">
        <v>423</v>
      </c>
      <c r="C24" s="687">
        <v>101.048089</v>
      </c>
      <c r="D24" s="687">
        <v>218.849637</v>
      </c>
      <c r="E24" s="687">
        <v>19.574124</v>
      </c>
      <c r="F24" s="688">
        <v>3686.078638</v>
      </c>
      <c r="G24" s="688">
        <v>8737.31915</v>
      </c>
      <c r="H24" s="687">
        <v>26.347454</v>
      </c>
      <c r="I24" s="688">
        <v>42.645566</v>
      </c>
      <c r="J24" s="688">
        <v>0.307462</v>
      </c>
      <c r="K24" s="688">
        <v>814.990048</v>
      </c>
      <c r="L24" s="151">
        <v>389.719521</v>
      </c>
      <c r="M24" s="275">
        <v>1089.362711</v>
      </c>
    </row>
    <row r="25" spans="1:13">
      <c r="A25" s="45">
        <v>22</v>
      </c>
      <c r="B25" s="45" t="s">
        <v>424</v>
      </c>
      <c r="C25" s="687">
        <v>0</v>
      </c>
      <c r="D25" s="687">
        <v>0</v>
      </c>
      <c r="E25" s="687">
        <v>0</v>
      </c>
      <c r="F25" s="688">
        <v>0</v>
      </c>
      <c r="G25" s="688">
        <v>0</v>
      </c>
      <c r="H25" s="687">
        <v>0</v>
      </c>
      <c r="I25" s="688">
        <v>0</v>
      </c>
      <c r="J25" s="688">
        <v>0</v>
      </c>
      <c r="K25" s="688">
        <v>0</v>
      </c>
      <c r="L25" s="279">
        <v>0</v>
      </c>
      <c r="M25" s="676">
        <v>0</v>
      </c>
    </row>
    <row r="26" spans="1:14">
      <c r="A26" s="45"/>
      <c r="B26" s="48" t="s">
        <v>425</v>
      </c>
      <c r="C26" s="690">
        <v>12700943.807826</v>
      </c>
      <c r="D26" s="690">
        <v>20843964.9524619</v>
      </c>
      <c r="E26" s="690">
        <v>25658999.9732252</v>
      </c>
      <c r="F26" s="690">
        <v>30863065.5361904</v>
      </c>
      <c r="G26" s="690">
        <v>60590548.8426538</v>
      </c>
      <c r="H26" s="690">
        <v>3576567.853432</v>
      </c>
      <c r="I26" s="690">
        <v>4875187.84904092</v>
      </c>
      <c r="J26" s="690">
        <v>7495673.51955154</v>
      </c>
      <c r="K26" s="690">
        <v>6466102.38467316</v>
      </c>
      <c r="L26" s="690">
        <v>14749524.1494957</v>
      </c>
      <c r="M26" s="690">
        <v>15426174.7450436</v>
      </c>
      <c r="N26" s="52"/>
    </row>
    <row r="27" spans="1:13">
      <c r="A27" s="45"/>
      <c r="B27" s="45"/>
      <c r="C27" s="297"/>
      <c r="D27" s="304"/>
      <c r="E27" s="304"/>
      <c r="F27" s="691"/>
      <c r="G27" s="691"/>
      <c r="H27" s="215"/>
      <c r="I27" s="215"/>
      <c r="J27" s="215"/>
      <c r="K27" s="151"/>
      <c r="L27" s="151"/>
      <c r="M27" s="151"/>
    </row>
    <row r="28" spans="1:13">
      <c r="A28" s="45"/>
      <c r="B28" s="45" t="s">
        <v>426</v>
      </c>
      <c r="C28" s="25"/>
      <c r="D28" s="25"/>
      <c r="E28" s="25"/>
      <c r="F28" s="129"/>
      <c r="G28" s="129"/>
      <c r="H28" s="692"/>
      <c r="I28" s="692"/>
      <c r="J28" s="692"/>
      <c r="K28" s="692"/>
      <c r="L28" s="692"/>
      <c r="M28" s="692"/>
    </row>
    <row r="29" spans="1:13">
      <c r="A29" s="45">
        <v>1</v>
      </c>
      <c r="B29" s="45" t="s">
        <v>403</v>
      </c>
      <c r="C29" s="693">
        <v>3.57862773352274</v>
      </c>
      <c r="D29" s="693">
        <v>2.64453507802935</v>
      </c>
      <c r="E29" s="693">
        <v>2.14210642067323</v>
      </c>
      <c r="F29" s="693">
        <v>1.93588475772893</v>
      </c>
      <c r="G29" s="693">
        <v>2.46159971650898</v>
      </c>
      <c r="H29" s="693">
        <v>2.98220931085232</v>
      </c>
      <c r="I29" s="693">
        <v>2.25804539358738</v>
      </c>
      <c r="J29" s="693">
        <v>1.59944431544789</v>
      </c>
      <c r="K29" s="693">
        <v>1.89404305923607</v>
      </c>
      <c r="L29" s="693">
        <v>1.63096546438907</v>
      </c>
      <c r="M29" s="336">
        <v>2.54757656234426</v>
      </c>
    </row>
    <row r="30" spans="1:13">
      <c r="A30" s="45">
        <v>2</v>
      </c>
      <c r="B30" s="45" t="s">
        <v>404</v>
      </c>
      <c r="C30" s="693">
        <v>5.90024541624416</v>
      </c>
      <c r="D30" s="693">
        <v>6.48344218844689</v>
      </c>
      <c r="E30" s="693">
        <v>5.11894211600836</v>
      </c>
      <c r="F30" s="693">
        <v>5.28061372594672</v>
      </c>
      <c r="G30" s="693">
        <v>3.93802207297103</v>
      </c>
      <c r="H30" s="693">
        <v>4.76083804932173</v>
      </c>
      <c r="I30" s="693">
        <v>5.14409691508269</v>
      </c>
      <c r="J30" s="693">
        <v>4.49423514603868</v>
      </c>
      <c r="K30" s="693">
        <v>5.31931189096669</v>
      </c>
      <c r="L30" s="693">
        <v>4.68036604270793</v>
      </c>
      <c r="M30" s="336">
        <v>4.3050463118368</v>
      </c>
    </row>
    <row r="31" spans="1:13">
      <c r="A31" s="45">
        <v>3</v>
      </c>
      <c r="B31" s="45" t="s">
        <v>405</v>
      </c>
      <c r="C31" s="693">
        <v>0.94330808595639</v>
      </c>
      <c r="D31" s="693">
        <v>1.25832293173195</v>
      </c>
      <c r="E31" s="693">
        <v>0.646433144651316</v>
      </c>
      <c r="F31" s="693">
        <v>0.695329894606087</v>
      </c>
      <c r="G31" s="693">
        <v>0.599539262721241</v>
      </c>
      <c r="H31" s="693">
        <v>0.839241572732843</v>
      </c>
      <c r="I31" s="693">
        <v>1.76830582000978</v>
      </c>
      <c r="J31" s="693">
        <v>0.388332373909763</v>
      </c>
      <c r="K31" s="693">
        <v>0.655166366409791</v>
      </c>
      <c r="L31" s="693">
        <v>0.452655131591367</v>
      </c>
      <c r="M31" s="336">
        <v>0.664273917400838</v>
      </c>
    </row>
    <row r="32" spans="1:13">
      <c r="A32" s="45">
        <v>4</v>
      </c>
      <c r="B32" s="45" t="s">
        <v>406</v>
      </c>
      <c r="C32" s="693">
        <v>4.67747261141287</v>
      </c>
      <c r="D32" s="693">
        <v>4.3344774250174</v>
      </c>
      <c r="E32" s="693">
        <v>3.80599328695992</v>
      </c>
      <c r="F32" s="693">
        <v>4.90728620681907</v>
      </c>
      <c r="G32" s="693">
        <v>4.61146345520646</v>
      </c>
      <c r="H32" s="693">
        <v>3.61418826940361</v>
      </c>
      <c r="I32" s="693">
        <v>3.69013635637427</v>
      </c>
      <c r="J32" s="693">
        <v>3.08942190238102</v>
      </c>
      <c r="K32" s="693">
        <v>3.91429082790178</v>
      </c>
      <c r="L32" s="693">
        <v>4.63393324390313</v>
      </c>
      <c r="M32" s="336">
        <v>4.33255269686179</v>
      </c>
    </row>
    <row r="33" spans="1:13">
      <c r="A33" s="45">
        <v>5</v>
      </c>
      <c r="B33" s="45" t="s">
        <v>407</v>
      </c>
      <c r="C33" s="693">
        <v>23.3463102006004</v>
      </c>
      <c r="D33" s="693">
        <v>31.4863486047061</v>
      </c>
      <c r="E33" s="693">
        <v>40.2189719554533</v>
      </c>
      <c r="F33" s="693">
        <v>39.5034991085385</v>
      </c>
      <c r="G33" s="693">
        <v>38.6026187772808</v>
      </c>
      <c r="H33" s="693">
        <v>33.1196396804085</v>
      </c>
      <c r="I33" s="693">
        <v>35.2994002747908</v>
      </c>
      <c r="J33" s="693">
        <v>47.235745896179</v>
      </c>
      <c r="K33" s="693">
        <v>47.0535000340077</v>
      </c>
      <c r="L33" s="693">
        <v>44.8860368312427</v>
      </c>
      <c r="M33" s="336">
        <v>32.8435283674164</v>
      </c>
    </row>
    <row r="34" spans="1:13">
      <c r="A34" s="45">
        <v>6</v>
      </c>
      <c r="B34" s="45" t="s">
        <v>408</v>
      </c>
      <c r="C34" s="693">
        <v>11.4685799611559</v>
      </c>
      <c r="D34" s="693">
        <v>8.63287405122251</v>
      </c>
      <c r="E34" s="693">
        <v>8.63319164408791</v>
      </c>
      <c r="F34" s="693">
        <v>7.56062871867599</v>
      </c>
      <c r="G34" s="693">
        <v>8.8024533329469</v>
      </c>
      <c r="H34" s="693">
        <v>7.76928484774469</v>
      </c>
      <c r="I34" s="693">
        <v>10.1281622310438</v>
      </c>
      <c r="J34" s="693">
        <v>6.90519292743912</v>
      </c>
      <c r="K34" s="693">
        <v>6.65721782538336</v>
      </c>
      <c r="L34" s="693">
        <v>7.98207841657222</v>
      </c>
      <c r="M34" s="336">
        <v>9.21071180447711</v>
      </c>
    </row>
    <row r="35" spans="1:13">
      <c r="A35" s="45">
        <v>7</v>
      </c>
      <c r="B35" s="45" t="s">
        <v>409</v>
      </c>
      <c r="C35" s="693">
        <v>4.79658171463305</v>
      </c>
      <c r="D35" s="693">
        <v>5.57126553690468</v>
      </c>
      <c r="E35" s="693">
        <v>4.62556103672974</v>
      </c>
      <c r="F35" s="693">
        <v>4.21013859664503</v>
      </c>
      <c r="G35" s="693">
        <v>5.70438328379007</v>
      </c>
      <c r="H35" s="693">
        <v>3.74098551860576</v>
      </c>
      <c r="I35" s="693">
        <v>3.75911576964266</v>
      </c>
      <c r="J35" s="693">
        <v>4.29631710237918</v>
      </c>
      <c r="K35" s="693">
        <v>3.5271611218004</v>
      </c>
      <c r="L35" s="693">
        <v>4.74763052565967</v>
      </c>
      <c r="M35" s="336">
        <v>6.5067187329088</v>
      </c>
    </row>
    <row r="36" spans="1:13">
      <c r="A36" s="45">
        <v>8</v>
      </c>
      <c r="B36" s="45" t="s">
        <v>410</v>
      </c>
      <c r="C36" s="693">
        <v>0.233785553020902</v>
      </c>
      <c r="D36" s="693">
        <v>0.173188532351357</v>
      </c>
      <c r="E36" s="693">
        <v>0.232102119315425</v>
      </c>
      <c r="F36" s="693">
        <v>0.290595290259914</v>
      </c>
      <c r="G36" s="693">
        <v>0.259511718993224</v>
      </c>
      <c r="H36" s="693">
        <v>0.191590455928988</v>
      </c>
      <c r="I36" s="693">
        <v>0.157544206455777</v>
      </c>
      <c r="J36" s="693">
        <v>0.157747139268513</v>
      </c>
      <c r="K36" s="693">
        <v>0.329993850245515</v>
      </c>
      <c r="L36" s="693">
        <v>0.250507677871516</v>
      </c>
      <c r="M36" s="336">
        <v>0.711406463370059</v>
      </c>
    </row>
    <row r="37" spans="1:13">
      <c r="A37" s="45">
        <v>9</v>
      </c>
      <c r="B37" s="45" t="s">
        <v>411</v>
      </c>
      <c r="C37" s="693">
        <v>0.405479531507471</v>
      </c>
      <c r="D37" s="693">
        <v>0.2846861316517</v>
      </c>
      <c r="E37" s="693">
        <v>0.411589617086411</v>
      </c>
      <c r="F37" s="693">
        <v>0.567412482252132</v>
      </c>
      <c r="G37" s="693">
        <v>0.853168571491947</v>
      </c>
      <c r="H37" s="693">
        <v>0.228343070610649</v>
      </c>
      <c r="I37" s="693">
        <v>0.271677925489694</v>
      </c>
      <c r="J37" s="693">
        <v>0.389889544452151</v>
      </c>
      <c r="K37" s="693">
        <v>0.365700713896062</v>
      </c>
      <c r="L37" s="693">
        <v>0.710566086110539</v>
      </c>
      <c r="M37" s="336">
        <v>0.863998524422414</v>
      </c>
    </row>
    <row r="38" spans="1:13">
      <c r="A38" s="45">
        <v>10</v>
      </c>
      <c r="B38" s="45" t="s">
        <v>412</v>
      </c>
      <c r="C38" s="693">
        <v>1.48523446832956</v>
      </c>
      <c r="D38" s="693">
        <v>1.57802704841024</v>
      </c>
      <c r="E38" s="693">
        <v>1.60658682198511</v>
      </c>
      <c r="F38" s="693">
        <v>1.85695468568397</v>
      </c>
      <c r="G38" s="693">
        <v>1.56487076559129</v>
      </c>
      <c r="H38" s="693">
        <v>1.44795920964581</v>
      </c>
      <c r="I38" s="693">
        <v>1.00631272995258</v>
      </c>
      <c r="J38" s="693">
        <v>1.47831498418343</v>
      </c>
      <c r="K38" s="693">
        <v>1.21332576666222</v>
      </c>
      <c r="L38" s="693">
        <v>1.16895113668393</v>
      </c>
      <c r="M38" s="336">
        <v>1.47768809530853</v>
      </c>
    </row>
    <row r="39" spans="1:13">
      <c r="A39" s="45">
        <v>11</v>
      </c>
      <c r="B39" s="45" t="s">
        <v>413</v>
      </c>
      <c r="C39" s="693">
        <v>1.43717006746796</v>
      </c>
      <c r="D39" s="693">
        <v>1.33740040130932</v>
      </c>
      <c r="E39" s="693">
        <v>1.42430771960464</v>
      </c>
      <c r="F39" s="693">
        <v>1.22303969816082</v>
      </c>
      <c r="G39" s="693">
        <v>1.19849642569304</v>
      </c>
      <c r="H39" s="693">
        <v>1.08916887844361</v>
      </c>
      <c r="I39" s="693">
        <v>1.79904545135126</v>
      </c>
      <c r="J39" s="693">
        <v>1.23562547855661</v>
      </c>
      <c r="K39" s="693">
        <v>1.08997415251355</v>
      </c>
      <c r="L39" s="693">
        <v>1.20985512426245</v>
      </c>
      <c r="M39" s="336">
        <v>1.48341316282913</v>
      </c>
    </row>
    <row r="40" spans="1:13">
      <c r="A40" s="45">
        <v>12</v>
      </c>
      <c r="B40" s="45" t="s">
        <v>414</v>
      </c>
      <c r="C40" s="693">
        <v>0.184864035533584</v>
      </c>
      <c r="D40" s="693">
        <v>0.123995411837167</v>
      </c>
      <c r="E40" s="693">
        <v>0.0983422785468293</v>
      </c>
      <c r="F40" s="693">
        <v>0.0903830203590439</v>
      </c>
      <c r="G40" s="693">
        <v>0.106725875129352</v>
      </c>
      <c r="H40" s="693">
        <v>0.177362064832992</v>
      </c>
      <c r="I40" s="693">
        <v>0.133852606280264</v>
      </c>
      <c r="J40" s="693">
        <v>0.110767000688375</v>
      </c>
      <c r="K40" s="693">
        <v>0.0623858749679217</v>
      </c>
      <c r="L40" s="693">
        <v>0.0973846358459717</v>
      </c>
      <c r="M40" s="336">
        <v>0.135124552758598</v>
      </c>
    </row>
    <row r="41" spans="1:13">
      <c r="A41" s="45">
        <v>13</v>
      </c>
      <c r="B41" s="45" t="s">
        <v>415</v>
      </c>
      <c r="C41" s="693">
        <v>0.562475117864711</v>
      </c>
      <c r="D41" s="693">
        <v>0.484496544761615</v>
      </c>
      <c r="E41" s="693">
        <v>0.456709762938084</v>
      </c>
      <c r="F41" s="693">
        <v>0.601213363693308</v>
      </c>
      <c r="G41" s="693">
        <v>0.497180977299439</v>
      </c>
      <c r="H41" s="693">
        <v>0.530912612961588</v>
      </c>
      <c r="I41" s="693">
        <v>0.379203287841244</v>
      </c>
      <c r="J41" s="693">
        <v>0.352168188304169</v>
      </c>
      <c r="K41" s="693">
        <v>0.465640538840956</v>
      </c>
      <c r="L41" s="693">
        <v>0.401893849857027</v>
      </c>
      <c r="M41" s="336">
        <v>0.543952518688798</v>
      </c>
    </row>
    <row r="42" spans="1:13">
      <c r="A42" s="45">
        <v>14</v>
      </c>
      <c r="B42" s="45" t="s">
        <v>416</v>
      </c>
      <c r="C42" s="693">
        <v>0.0102078136366617</v>
      </c>
      <c r="D42" s="693">
        <v>0.00617917384690226</v>
      </c>
      <c r="E42" s="693">
        <v>1.06993124567782</v>
      </c>
      <c r="F42" s="693">
        <v>0.756111005643172</v>
      </c>
      <c r="G42" s="693">
        <v>0.756631178756163</v>
      </c>
      <c r="H42" s="693">
        <v>0.00730067317888128</v>
      </c>
      <c r="I42" s="693">
        <v>0.00638511525378942</v>
      </c>
      <c r="J42" s="693">
        <v>0.784670186976325</v>
      </c>
      <c r="K42" s="693">
        <v>0.619746781430303</v>
      </c>
      <c r="L42" s="693">
        <v>0.449624090742396</v>
      </c>
      <c r="M42" s="336">
        <v>1.10895845774056</v>
      </c>
    </row>
    <row r="43" spans="1:13">
      <c r="A43" s="45">
        <v>15</v>
      </c>
      <c r="B43" s="45" t="s">
        <v>417</v>
      </c>
      <c r="C43" s="693">
        <v>5.29485741667186</v>
      </c>
      <c r="D43" s="693">
        <v>5.08619278153594</v>
      </c>
      <c r="E43" s="693">
        <v>3.31811022835815</v>
      </c>
      <c r="F43" s="693">
        <v>3.13648200866144</v>
      </c>
      <c r="G43" s="693">
        <v>4.0574874934312</v>
      </c>
      <c r="H43" s="693">
        <v>5.67021554274158</v>
      </c>
      <c r="I43" s="693">
        <v>4.44756113569359</v>
      </c>
      <c r="J43" s="693">
        <v>2.68263142178624</v>
      </c>
      <c r="K43" s="693">
        <v>2.99889552047051</v>
      </c>
      <c r="L43" s="693">
        <v>4.00147752278626</v>
      </c>
      <c r="M43" s="336">
        <v>4.70458249590474</v>
      </c>
    </row>
    <row r="44" spans="1:13">
      <c r="A44" s="45">
        <v>16</v>
      </c>
      <c r="B44" s="45" t="s">
        <v>418</v>
      </c>
      <c r="C44" s="693">
        <v>23.8499277153837</v>
      </c>
      <c r="D44" s="693">
        <v>20.126566955878</v>
      </c>
      <c r="E44" s="693">
        <v>16.9024372372173</v>
      </c>
      <c r="F44" s="693">
        <v>16.3409737316312</v>
      </c>
      <c r="G44" s="693">
        <v>16.0482887759036</v>
      </c>
      <c r="H44" s="693">
        <v>22.1621241935448</v>
      </c>
      <c r="I44" s="693">
        <v>19.5928783740284</v>
      </c>
      <c r="J44" s="693">
        <v>16.3266441311096</v>
      </c>
      <c r="K44" s="693">
        <v>13.785143685303</v>
      </c>
      <c r="L44" s="693">
        <v>15.5322447631528</v>
      </c>
      <c r="M44" s="336">
        <v>18.5887230976774</v>
      </c>
    </row>
    <row r="45" spans="1:13">
      <c r="A45" s="45">
        <v>17</v>
      </c>
      <c r="B45" s="45" t="s">
        <v>419</v>
      </c>
      <c r="C45" s="693">
        <v>9.04981814088305</v>
      </c>
      <c r="D45" s="693">
        <v>7.46442060155274</v>
      </c>
      <c r="E45" s="693">
        <v>6.55036238208755</v>
      </c>
      <c r="F45" s="693">
        <v>8.89829336652063</v>
      </c>
      <c r="G45" s="693">
        <v>7.40841936752523</v>
      </c>
      <c r="H45" s="693">
        <v>8.86511571247696</v>
      </c>
      <c r="I45" s="693">
        <v>6.7839183013648</v>
      </c>
      <c r="J45" s="693">
        <v>6.08778141283428</v>
      </c>
      <c r="K45" s="693">
        <v>6.13959285601486</v>
      </c>
      <c r="L45" s="693">
        <v>5.76715143403516</v>
      </c>
      <c r="M45" s="336">
        <v>7.89731607940861</v>
      </c>
    </row>
    <row r="46" spans="1:13">
      <c r="A46" s="45">
        <v>18</v>
      </c>
      <c r="B46" s="45" t="s">
        <v>420</v>
      </c>
      <c r="C46" s="693">
        <v>2.07829678546686</v>
      </c>
      <c r="D46" s="693">
        <v>2.14309899845729</v>
      </c>
      <c r="E46" s="693">
        <v>2.03810844221014</v>
      </c>
      <c r="F46" s="693">
        <v>1.17909887444356</v>
      </c>
      <c r="G46" s="693">
        <v>1.05193708069254</v>
      </c>
      <c r="H46" s="693">
        <v>1.66530242198109</v>
      </c>
      <c r="I46" s="693">
        <v>2.21655226805791</v>
      </c>
      <c r="J46" s="693">
        <v>1.85253852011831</v>
      </c>
      <c r="K46" s="693">
        <v>1.67627319128011</v>
      </c>
      <c r="L46" s="693">
        <v>0.828775292463791</v>
      </c>
      <c r="M46" s="336">
        <v>1.33062330360254</v>
      </c>
    </row>
    <row r="47" spans="1:13">
      <c r="A47" s="45">
        <v>19</v>
      </c>
      <c r="B47" s="45" t="s">
        <v>421</v>
      </c>
      <c r="C47" s="693">
        <v>0.230190697686461</v>
      </c>
      <c r="D47" s="693">
        <v>0.347808756953591</v>
      </c>
      <c r="E47" s="693">
        <v>0.110055101034596</v>
      </c>
      <c r="F47" s="693">
        <v>0.412020576027641</v>
      </c>
      <c r="G47" s="693">
        <v>0.858244703421346</v>
      </c>
      <c r="H47" s="693">
        <v>0.74737619039857</v>
      </c>
      <c r="I47" s="693">
        <v>0.760870931061607</v>
      </c>
      <c r="J47" s="693">
        <v>0.0653354162534683</v>
      </c>
      <c r="K47" s="693">
        <v>1.77711163413334</v>
      </c>
      <c r="L47" s="693">
        <v>0.0726703234854293</v>
      </c>
      <c r="M47" s="336">
        <v>0.143116858812282</v>
      </c>
    </row>
    <row r="48" spans="1:13">
      <c r="A48" s="45">
        <v>20</v>
      </c>
      <c r="B48" s="45" t="s">
        <v>422</v>
      </c>
      <c r="C48" s="693">
        <v>0.465771337902847</v>
      </c>
      <c r="D48" s="693">
        <v>0.43162290294186</v>
      </c>
      <c r="E48" s="693">
        <v>0.590081153766682</v>
      </c>
      <c r="F48" s="693">
        <v>0.542097554874492</v>
      </c>
      <c r="G48" s="693">
        <v>0.604536897266298</v>
      </c>
      <c r="H48" s="693">
        <v>0.390105055538415</v>
      </c>
      <c r="I48" s="693">
        <v>0.396060159503362</v>
      </c>
      <c r="J48" s="693">
        <v>0.467192809834321</v>
      </c>
      <c r="K48" s="693">
        <v>0.442920269819508</v>
      </c>
      <c r="L48" s="693">
        <v>0.492590155150764</v>
      </c>
      <c r="M48" s="336">
        <v>0.593626215011096</v>
      </c>
    </row>
    <row r="49" spans="1:13">
      <c r="A49" s="45">
        <v>21</v>
      </c>
      <c r="B49" s="45" t="s">
        <v>423</v>
      </c>
      <c r="C49" s="693">
        <v>0.000795595118984282</v>
      </c>
      <c r="D49" s="693">
        <v>0.00104994245336299</v>
      </c>
      <c r="E49" s="693">
        <v>7.6285607468823e-5</v>
      </c>
      <c r="F49" s="693">
        <v>0.0119433328282884</v>
      </c>
      <c r="G49" s="693">
        <v>0.0144202673798017</v>
      </c>
      <c r="H49" s="693">
        <v>0.000736668646582995</v>
      </c>
      <c r="I49" s="693">
        <v>0.000874747134274826</v>
      </c>
      <c r="J49" s="693">
        <v>4.10185954868529e-6</v>
      </c>
      <c r="K49" s="693">
        <v>0.0126040387163031</v>
      </c>
      <c r="L49" s="693">
        <v>0.00264225148587811</v>
      </c>
      <c r="M49" s="336">
        <v>0.00706178121928775</v>
      </c>
    </row>
    <row r="50" spans="1:13">
      <c r="A50" s="45">
        <v>22</v>
      </c>
      <c r="B50" s="45" t="s">
        <v>424</v>
      </c>
      <c r="C50" s="693">
        <v>0</v>
      </c>
      <c r="D50" s="693">
        <v>0</v>
      </c>
      <c r="E50" s="693">
        <v>0</v>
      </c>
      <c r="F50" s="693">
        <v>0</v>
      </c>
      <c r="G50" s="693">
        <v>0</v>
      </c>
      <c r="H50" s="693">
        <v>0</v>
      </c>
      <c r="I50" s="693">
        <v>0</v>
      </c>
      <c r="J50" s="693">
        <v>0</v>
      </c>
      <c r="K50" s="693">
        <v>0</v>
      </c>
      <c r="L50" s="693">
        <v>0</v>
      </c>
      <c r="M50" s="336">
        <v>0</v>
      </c>
    </row>
    <row r="51" spans="1:13">
      <c r="A51" s="45"/>
      <c r="B51" s="48" t="s">
        <v>425</v>
      </c>
      <c r="C51" s="23">
        <v>100</v>
      </c>
      <c r="D51" s="23">
        <v>100</v>
      </c>
      <c r="E51" s="23">
        <v>100</v>
      </c>
      <c r="F51" s="23">
        <v>100</v>
      </c>
      <c r="G51" s="23">
        <v>100</v>
      </c>
      <c r="H51" s="23">
        <v>100</v>
      </c>
      <c r="I51" s="23">
        <v>100</v>
      </c>
      <c r="J51" s="342">
        <v>100</v>
      </c>
      <c r="K51" s="342">
        <v>100</v>
      </c>
      <c r="L51" s="342">
        <v>100</v>
      </c>
      <c r="M51" s="695">
        <v>100</v>
      </c>
    </row>
    <row r="52" spans="3:7">
      <c r="C52" s="38"/>
      <c r="D52" s="38"/>
      <c r="E52" s="38"/>
      <c r="F52" s="262"/>
      <c r="G52" s="262"/>
    </row>
    <row r="53" spans="3:7">
      <c r="C53" s="38"/>
      <c r="D53" s="38"/>
      <c r="E53" s="38"/>
      <c r="F53" s="262"/>
      <c r="G53" s="262"/>
    </row>
  </sheetData>
  <mergeCells count="1">
    <mergeCell ref="A1:L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zoomScale="75" zoomScaleNormal="75" workbookViewId="0">
      <selection activeCell="F9" sqref="F9"/>
    </sheetView>
  </sheetViews>
  <sheetFormatPr defaultColWidth="8.81481481481481" defaultRowHeight="14.4"/>
  <cols>
    <col min="1" max="1" width="5.4537037037037" style="630" customWidth="1"/>
    <col min="2" max="2" width="67.4537037037037" style="655" customWidth="1"/>
    <col min="3" max="13" width="19.4537037037037" style="656" customWidth="1"/>
    <col min="14" max="14" width="20.2685185185185" customWidth="1"/>
  </cols>
  <sheetData>
    <row r="1" spans="12:13">
      <c r="L1" s="671"/>
      <c r="M1" s="671"/>
    </row>
    <row r="2" ht="17.4" spans="1:13">
      <c r="A2" s="657" t="s">
        <v>427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72"/>
      <c r="M2"/>
    </row>
    <row r="3" ht="17.4" spans="1:13">
      <c r="A3" s="659"/>
      <c r="B3" s="659"/>
      <c r="C3" s="660">
        <v>2020</v>
      </c>
      <c r="D3" s="661">
        <v>2021</v>
      </c>
      <c r="E3" s="661">
        <v>2022</v>
      </c>
      <c r="F3" s="661">
        <v>2023</v>
      </c>
      <c r="G3" s="661">
        <v>2024</v>
      </c>
      <c r="H3" s="290" t="s">
        <v>396</v>
      </c>
      <c r="I3" s="290" t="s">
        <v>397</v>
      </c>
      <c r="J3" s="290" t="s">
        <v>398</v>
      </c>
      <c r="K3" s="290" t="s">
        <v>399</v>
      </c>
      <c r="L3" s="290" t="s">
        <v>400</v>
      </c>
      <c r="M3" s="290" t="s">
        <v>401</v>
      </c>
    </row>
    <row r="4" ht="17.4" spans="1:13">
      <c r="A4" s="659"/>
      <c r="B4" s="659" t="s">
        <v>428</v>
      </c>
      <c r="C4" s="662"/>
      <c r="D4" s="663"/>
      <c r="E4" s="663"/>
      <c r="F4" s="151"/>
      <c r="G4" s="151"/>
      <c r="H4" s="662"/>
      <c r="I4" s="662"/>
      <c r="J4" s="662"/>
      <c r="K4" s="673"/>
      <c r="L4" s="151"/>
      <c r="M4" s="151"/>
    </row>
    <row r="5" ht="17.4" spans="1:14">
      <c r="A5" s="659">
        <v>1</v>
      </c>
      <c r="B5" s="659" t="s">
        <v>403</v>
      </c>
      <c r="C5" s="664">
        <v>14439.1952996</v>
      </c>
      <c r="D5" s="664">
        <v>21924.069272628</v>
      </c>
      <c r="E5" s="664">
        <v>24884.687576096</v>
      </c>
      <c r="F5" s="664">
        <v>39456.471928958</v>
      </c>
      <c r="G5" s="664">
        <v>98439.50284513</v>
      </c>
      <c r="H5" s="664">
        <v>5135.6088964</v>
      </c>
      <c r="I5" s="279">
        <v>2896.1660708</v>
      </c>
      <c r="J5" s="674">
        <v>7066.722993025</v>
      </c>
      <c r="K5" s="675">
        <v>5737.130658814</v>
      </c>
      <c r="L5" s="279">
        <v>18550.82146232</v>
      </c>
      <c r="M5" s="676">
        <v>22449.51943156</v>
      </c>
      <c r="N5" s="53"/>
    </row>
    <row r="6" ht="17.4" spans="1:14">
      <c r="A6" s="659">
        <v>2</v>
      </c>
      <c r="B6" s="659" t="s">
        <v>404</v>
      </c>
      <c r="C6" s="664">
        <v>189913.74293502</v>
      </c>
      <c r="D6" s="664">
        <v>259305.350444423</v>
      </c>
      <c r="E6" s="664">
        <v>316546.604256867</v>
      </c>
      <c r="F6" s="664">
        <v>786963.686551932</v>
      </c>
      <c r="G6" s="664">
        <v>1586093.15421365</v>
      </c>
      <c r="H6" s="664">
        <v>63945.34688426</v>
      </c>
      <c r="I6" s="279">
        <v>82734.71288455</v>
      </c>
      <c r="J6" s="674">
        <v>104497.900219341</v>
      </c>
      <c r="K6" s="675">
        <v>164499.94765937</v>
      </c>
      <c r="L6" s="279">
        <v>589565.432403687</v>
      </c>
      <c r="M6" s="676">
        <v>359011.758876267</v>
      </c>
      <c r="N6" s="53"/>
    </row>
    <row r="7" ht="17.4" spans="1:14">
      <c r="A7" s="659">
        <v>3</v>
      </c>
      <c r="B7" s="659" t="s">
        <v>405</v>
      </c>
      <c r="C7" s="664">
        <v>6053.51675105</v>
      </c>
      <c r="D7" s="664">
        <v>6841.1057225</v>
      </c>
      <c r="E7" s="664">
        <v>9177.657615702</v>
      </c>
      <c r="F7" s="664">
        <v>11794.370331506</v>
      </c>
      <c r="G7" s="664">
        <v>40492.37600642</v>
      </c>
      <c r="H7" s="664">
        <v>587.97284972</v>
      </c>
      <c r="I7" s="279">
        <v>4711.88296128</v>
      </c>
      <c r="J7" s="674">
        <v>1577.119328959</v>
      </c>
      <c r="K7" s="675">
        <v>1164.293725454</v>
      </c>
      <c r="L7" s="279">
        <v>5542.34045999</v>
      </c>
      <c r="M7" s="676">
        <v>5191.25428267</v>
      </c>
      <c r="N7" s="53"/>
    </row>
    <row r="8" ht="17.4" spans="1:14">
      <c r="A8" s="659">
        <v>4</v>
      </c>
      <c r="B8" s="659" t="s">
        <v>406</v>
      </c>
      <c r="C8" s="664">
        <v>169269.290903984</v>
      </c>
      <c r="D8" s="664">
        <v>345301.811000996</v>
      </c>
      <c r="E8" s="664">
        <v>405750.736594008</v>
      </c>
      <c r="F8" s="664">
        <v>612153.300026408</v>
      </c>
      <c r="G8" s="664">
        <v>3060552.76667133</v>
      </c>
      <c r="H8" s="664">
        <v>73524.16069301</v>
      </c>
      <c r="I8" s="279">
        <v>56555.689538165</v>
      </c>
      <c r="J8" s="674">
        <v>128404.14038899</v>
      </c>
      <c r="K8" s="675">
        <v>138737.881061529</v>
      </c>
      <c r="L8" s="279">
        <v>472817.013218903</v>
      </c>
      <c r="M8" s="676">
        <v>1429514.02835542</v>
      </c>
      <c r="N8" s="53"/>
    </row>
    <row r="9" ht="17.4" spans="1:14">
      <c r="A9" s="659">
        <v>5</v>
      </c>
      <c r="B9" s="659" t="s">
        <v>407</v>
      </c>
      <c r="C9" s="664">
        <v>11120986.129109</v>
      </c>
      <c r="D9" s="664">
        <v>16910118.7864244</v>
      </c>
      <c r="E9" s="664">
        <v>24389951.3884262</v>
      </c>
      <c r="F9" s="664">
        <v>33075147.4434726</v>
      </c>
      <c r="G9" s="664">
        <v>68869042.2078816</v>
      </c>
      <c r="H9" s="664">
        <v>3492203.43368253</v>
      </c>
      <c r="I9" s="279">
        <v>2650087.73019369</v>
      </c>
      <c r="J9" s="674">
        <v>6421794.90874918</v>
      </c>
      <c r="K9" s="675">
        <v>5876365.6578666</v>
      </c>
      <c r="L9" s="279">
        <v>17519409.6041164</v>
      </c>
      <c r="M9" s="676">
        <v>17555120.1872922</v>
      </c>
      <c r="N9" s="53"/>
    </row>
    <row r="10" ht="17.4" spans="1:14">
      <c r="A10" s="659">
        <v>6</v>
      </c>
      <c r="B10" s="659" t="s">
        <v>408</v>
      </c>
      <c r="C10" s="664">
        <v>78969.1135792</v>
      </c>
      <c r="D10" s="664">
        <v>405879.493700967</v>
      </c>
      <c r="E10" s="664">
        <v>844368.249530154</v>
      </c>
      <c r="F10" s="664">
        <v>631768.241717085</v>
      </c>
      <c r="G10" s="664">
        <v>1334649.3021362</v>
      </c>
      <c r="H10" s="664">
        <v>33357.29971727</v>
      </c>
      <c r="I10" s="279">
        <v>20580.35036306</v>
      </c>
      <c r="J10" s="674">
        <v>216109.879036751</v>
      </c>
      <c r="K10" s="675">
        <v>155029.89963926</v>
      </c>
      <c r="L10" s="279">
        <v>254864.66552493</v>
      </c>
      <c r="M10" s="676">
        <v>869498.8142423</v>
      </c>
      <c r="N10" s="53"/>
    </row>
    <row r="11" ht="17.4" spans="1:14">
      <c r="A11" s="659">
        <v>7</v>
      </c>
      <c r="B11" s="659" t="s">
        <v>409</v>
      </c>
      <c r="C11" s="664">
        <v>10603.817899401</v>
      </c>
      <c r="D11" s="664">
        <v>44635.112619523</v>
      </c>
      <c r="E11" s="664">
        <v>54487.430636383</v>
      </c>
      <c r="F11" s="664">
        <v>53170.161799276</v>
      </c>
      <c r="G11" s="664">
        <v>186438.527301894</v>
      </c>
      <c r="H11" s="664">
        <v>5236.79996398</v>
      </c>
      <c r="I11" s="279">
        <v>3018.0225009</v>
      </c>
      <c r="J11" s="674">
        <v>17654.044358872</v>
      </c>
      <c r="K11" s="675">
        <v>8886.115728428</v>
      </c>
      <c r="L11" s="279">
        <v>30455.244303701</v>
      </c>
      <c r="M11" s="676">
        <v>55065.45877798</v>
      </c>
      <c r="N11" s="53"/>
    </row>
    <row r="12" ht="17.4" spans="1:14">
      <c r="A12" s="659">
        <v>8</v>
      </c>
      <c r="B12" s="659" t="s">
        <v>410</v>
      </c>
      <c r="C12" s="664">
        <v>23533.98423763</v>
      </c>
      <c r="D12" s="664">
        <v>37216.481533756</v>
      </c>
      <c r="E12" s="664">
        <v>36706.915342864</v>
      </c>
      <c r="F12" s="664">
        <v>47201.603254308</v>
      </c>
      <c r="G12" s="664">
        <v>47332.236666679</v>
      </c>
      <c r="H12" s="664">
        <v>5534.39361778</v>
      </c>
      <c r="I12" s="279">
        <v>14295.13351245</v>
      </c>
      <c r="J12" s="674">
        <v>4838.572511181</v>
      </c>
      <c r="K12" s="675">
        <v>10033.773223628</v>
      </c>
      <c r="L12" s="279">
        <v>9168.855753709</v>
      </c>
      <c r="M12" s="676">
        <v>7416.74043363</v>
      </c>
      <c r="N12" s="53"/>
    </row>
    <row r="13" ht="17.4" spans="1:14">
      <c r="A13" s="659">
        <v>9</v>
      </c>
      <c r="B13" s="659" t="s">
        <v>411</v>
      </c>
      <c r="C13" s="664">
        <v>545.24394285</v>
      </c>
      <c r="D13" s="664">
        <v>4554.333309477</v>
      </c>
      <c r="E13" s="664">
        <v>167.228866</v>
      </c>
      <c r="F13" s="664">
        <v>204.269388411</v>
      </c>
      <c r="G13" s="664">
        <v>3220.510120297</v>
      </c>
      <c r="H13" s="664">
        <v>171.3311108</v>
      </c>
      <c r="I13" s="279">
        <v>1766.41549026</v>
      </c>
      <c r="J13" s="674">
        <v>0</v>
      </c>
      <c r="K13" s="675">
        <v>3.4585425</v>
      </c>
      <c r="L13" s="279">
        <v>386.326571445</v>
      </c>
      <c r="M13" s="676">
        <v>418.86806395</v>
      </c>
      <c r="N13" s="53"/>
    </row>
    <row r="14" ht="17.4" spans="1:14">
      <c r="A14" s="659">
        <v>10</v>
      </c>
      <c r="B14" s="659" t="s">
        <v>412</v>
      </c>
      <c r="C14" s="664">
        <v>1076.311721969</v>
      </c>
      <c r="D14" s="664">
        <v>2165.63782549</v>
      </c>
      <c r="E14" s="664">
        <v>2620.0534102</v>
      </c>
      <c r="F14" s="664">
        <v>3953.2414678</v>
      </c>
      <c r="G14" s="664">
        <v>8762.94944036</v>
      </c>
      <c r="H14" s="664">
        <v>483.00288229</v>
      </c>
      <c r="I14" s="279">
        <v>74.28120756</v>
      </c>
      <c r="J14" s="674">
        <v>619.849905949</v>
      </c>
      <c r="K14" s="675">
        <v>583.45143332</v>
      </c>
      <c r="L14" s="279">
        <v>1293.08644937</v>
      </c>
      <c r="M14" s="676">
        <v>1905.26685747</v>
      </c>
      <c r="N14" s="53"/>
    </row>
    <row r="15" ht="17.4" spans="1:14">
      <c r="A15" s="659">
        <v>11</v>
      </c>
      <c r="B15" s="659" t="s">
        <v>413</v>
      </c>
      <c r="C15" s="664">
        <v>6022.88555278</v>
      </c>
      <c r="D15" s="664">
        <v>12292.473994484</v>
      </c>
      <c r="E15" s="664">
        <v>10267.728620277</v>
      </c>
      <c r="F15" s="664">
        <v>18755.270613171</v>
      </c>
      <c r="G15" s="664">
        <v>36981.153365977</v>
      </c>
      <c r="H15" s="664">
        <v>2920.64620076</v>
      </c>
      <c r="I15" s="279">
        <v>3422.87966562</v>
      </c>
      <c r="J15" s="674">
        <v>2083.803026981</v>
      </c>
      <c r="K15" s="675">
        <v>2657.254734174</v>
      </c>
      <c r="L15" s="279">
        <v>8493.583831095</v>
      </c>
      <c r="M15" s="676">
        <v>3104.915247935</v>
      </c>
      <c r="N15" s="53"/>
    </row>
    <row r="16" ht="17.4" spans="1:14">
      <c r="A16" s="659">
        <v>12</v>
      </c>
      <c r="B16" s="659" t="s">
        <v>414</v>
      </c>
      <c r="C16" s="664">
        <v>1816.91713133</v>
      </c>
      <c r="D16" s="664">
        <v>4260.9197843</v>
      </c>
      <c r="E16" s="664">
        <v>5349.312258952</v>
      </c>
      <c r="F16" s="664">
        <v>5976.235036375</v>
      </c>
      <c r="G16" s="664">
        <v>15262.16736341</v>
      </c>
      <c r="H16" s="664">
        <v>592.50919406</v>
      </c>
      <c r="I16" s="279">
        <v>751.16710198</v>
      </c>
      <c r="J16" s="674">
        <v>853.96117803</v>
      </c>
      <c r="K16" s="675">
        <v>1483.19171307</v>
      </c>
      <c r="L16" s="279">
        <v>2304.82677753</v>
      </c>
      <c r="M16" s="676">
        <v>6366.69021551</v>
      </c>
      <c r="N16" s="53"/>
    </row>
    <row r="17" ht="17.4" spans="1:14">
      <c r="A17" s="659">
        <v>13</v>
      </c>
      <c r="B17" s="659" t="s">
        <v>415</v>
      </c>
      <c r="C17" s="664">
        <v>1089.003429205</v>
      </c>
      <c r="D17" s="664">
        <v>22072.839578101</v>
      </c>
      <c r="E17" s="664">
        <v>75177.271800188</v>
      </c>
      <c r="F17" s="664">
        <v>100120.023061808</v>
      </c>
      <c r="G17" s="664">
        <v>244831.530665461</v>
      </c>
      <c r="H17" s="664">
        <v>410.14040382</v>
      </c>
      <c r="I17" s="279">
        <v>1718.68980347</v>
      </c>
      <c r="J17" s="674">
        <v>14064.814798062</v>
      </c>
      <c r="K17" s="675">
        <v>18957.368499147</v>
      </c>
      <c r="L17" s="279">
        <v>53538.49963509</v>
      </c>
      <c r="M17" s="676">
        <v>92376.39340074</v>
      </c>
      <c r="N17" s="53"/>
    </row>
    <row r="18" ht="17.4" spans="1:14">
      <c r="A18" s="659">
        <v>14</v>
      </c>
      <c r="B18" s="659" t="s">
        <v>416</v>
      </c>
      <c r="C18" s="664">
        <v>779.2875914</v>
      </c>
      <c r="D18" s="664">
        <v>3560.781164098</v>
      </c>
      <c r="E18" s="664">
        <v>1812.08584614</v>
      </c>
      <c r="F18" s="664">
        <v>1073.21186985</v>
      </c>
      <c r="G18" s="664">
        <v>2323.91129719</v>
      </c>
      <c r="H18" s="664">
        <v>58.1028814</v>
      </c>
      <c r="I18" s="279">
        <v>15.83436</v>
      </c>
      <c r="J18" s="674">
        <v>511.682665</v>
      </c>
      <c r="K18" s="675">
        <v>0</v>
      </c>
      <c r="L18" s="279">
        <v>94.50613208</v>
      </c>
      <c r="M18" s="676">
        <v>0</v>
      </c>
      <c r="N18" s="53"/>
    </row>
    <row r="19" ht="17.4" spans="1:14">
      <c r="A19" s="659">
        <v>15</v>
      </c>
      <c r="B19" s="659" t="s">
        <v>417</v>
      </c>
      <c r="C19" s="664">
        <v>35616.94201141</v>
      </c>
      <c r="D19" s="664">
        <v>152238.254210876</v>
      </c>
      <c r="E19" s="664">
        <v>244617.966826832</v>
      </c>
      <c r="F19" s="664">
        <v>389856.621670852</v>
      </c>
      <c r="G19" s="664">
        <v>834644.555719631</v>
      </c>
      <c r="H19" s="664">
        <v>13334.367525</v>
      </c>
      <c r="I19" s="279">
        <v>16248.66714109</v>
      </c>
      <c r="J19" s="674">
        <v>58551.320126169</v>
      </c>
      <c r="K19" s="675">
        <v>63771.943014857</v>
      </c>
      <c r="L19" s="279">
        <v>182574.150416802</v>
      </c>
      <c r="M19" s="676">
        <v>128605.07533683</v>
      </c>
      <c r="N19" s="53"/>
    </row>
    <row r="20" ht="17.4" spans="1:14">
      <c r="A20" s="659">
        <v>16</v>
      </c>
      <c r="B20" s="659" t="s">
        <v>429</v>
      </c>
      <c r="C20" s="664">
        <v>17867.08979212</v>
      </c>
      <c r="D20" s="664">
        <v>19298.422266838</v>
      </c>
      <c r="E20" s="664">
        <v>8804.415919009</v>
      </c>
      <c r="F20" s="664">
        <v>60791.911462853</v>
      </c>
      <c r="G20" s="664">
        <v>108317.825644584</v>
      </c>
      <c r="H20" s="664">
        <v>5910.22173112</v>
      </c>
      <c r="I20" s="279">
        <v>16051.9381041</v>
      </c>
      <c r="J20" s="674">
        <v>1291.284399883</v>
      </c>
      <c r="K20" s="675">
        <v>5389.1337439</v>
      </c>
      <c r="L20" s="279">
        <v>16998.360364332</v>
      </c>
      <c r="M20" s="676">
        <v>15207.87255541</v>
      </c>
      <c r="N20" s="53"/>
    </row>
    <row r="21" ht="17.4" spans="1:14">
      <c r="A21" s="659">
        <v>17</v>
      </c>
      <c r="B21" s="659" t="s">
        <v>419</v>
      </c>
      <c r="C21" s="664">
        <v>841996.85060651</v>
      </c>
      <c r="D21" s="664">
        <v>654167.001405</v>
      </c>
      <c r="E21" s="664">
        <v>364783.146402468</v>
      </c>
      <c r="F21" s="664">
        <v>118508.51106256</v>
      </c>
      <c r="G21" s="664">
        <v>946675.474891831</v>
      </c>
      <c r="H21" s="664">
        <v>406285.7473352</v>
      </c>
      <c r="I21" s="279">
        <v>109749.240536</v>
      </c>
      <c r="J21" s="674">
        <v>122101.704935</v>
      </c>
      <c r="K21" s="675">
        <v>32302.873254</v>
      </c>
      <c r="L21" s="279">
        <v>7846.473375681</v>
      </c>
      <c r="M21" s="676">
        <v>45211.837272</v>
      </c>
      <c r="N21" s="53"/>
    </row>
    <row r="22" ht="17.4" spans="1:14">
      <c r="A22" s="659">
        <v>18</v>
      </c>
      <c r="B22" s="659" t="s">
        <v>420</v>
      </c>
      <c r="C22" s="664">
        <v>2079.53251495</v>
      </c>
      <c r="D22" s="664">
        <v>1077.37350276</v>
      </c>
      <c r="E22" s="664">
        <v>771.635851083</v>
      </c>
      <c r="F22" s="664">
        <v>1983.710261991</v>
      </c>
      <c r="G22" s="664">
        <v>12972.507788918</v>
      </c>
      <c r="H22" s="664">
        <v>73.57627734</v>
      </c>
      <c r="I22" s="279">
        <v>144.66525804</v>
      </c>
      <c r="J22" s="674">
        <v>0</v>
      </c>
      <c r="K22" s="675">
        <v>952.948754</v>
      </c>
      <c r="L22" s="279">
        <v>1844.282860732</v>
      </c>
      <c r="M22" s="676">
        <v>956.331743</v>
      </c>
      <c r="N22" s="53"/>
    </row>
    <row r="23" ht="17.4" spans="1:14">
      <c r="A23" s="659">
        <v>19</v>
      </c>
      <c r="B23" s="659" t="s">
        <v>421</v>
      </c>
      <c r="C23" s="664">
        <v>0</v>
      </c>
      <c r="D23" s="664">
        <v>192.6417552</v>
      </c>
      <c r="E23" s="664">
        <v>0</v>
      </c>
      <c r="F23" s="664">
        <v>0</v>
      </c>
      <c r="G23" s="664">
        <v>0</v>
      </c>
      <c r="H23" s="664">
        <v>0</v>
      </c>
      <c r="I23" s="279">
        <v>0</v>
      </c>
      <c r="J23" s="674">
        <v>0</v>
      </c>
      <c r="K23" s="675">
        <v>0</v>
      </c>
      <c r="L23" s="279">
        <v>0</v>
      </c>
      <c r="M23" s="676">
        <v>0</v>
      </c>
      <c r="N23" s="53"/>
    </row>
    <row r="24" ht="17.4" spans="1:14">
      <c r="A24" s="659">
        <v>20</v>
      </c>
      <c r="B24" s="659" t="s">
        <v>422</v>
      </c>
      <c r="C24" s="664">
        <v>25.58883809</v>
      </c>
      <c r="D24" s="664">
        <v>685.824256602</v>
      </c>
      <c r="E24" s="664">
        <v>510.346852273</v>
      </c>
      <c r="F24" s="664">
        <v>3514.157707662</v>
      </c>
      <c r="G24" s="664">
        <v>5066.294756212</v>
      </c>
      <c r="H24" s="664">
        <v>5.27555209</v>
      </c>
      <c r="I24" s="279">
        <v>108.48794025</v>
      </c>
      <c r="J24" s="674">
        <v>91.918159285</v>
      </c>
      <c r="K24" s="675">
        <v>482.558503398</v>
      </c>
      <c r="L24" s="279">
        <v>445.730146472</v>
      </c>
      <c r="M24" s="676">
        <v>1059.7402548</v>
      </c>
      <c r="N24" s="53"/>
    </row>
    <row r="25" ht="17.4" spans="1:14">
      <c r="A25" s="659">
        <v>21</v>
      </c>
      <c r="B25" s="659" t="s">
        <v>423</v>
      </c>
      <c r="C25" s="664">
        <v>0</v>
      </c>
      <c r="D25" s="664">
        <v>0</v>
      </c>
      <c r="E25" s="664">
        <v>0</v>
      </c>
      <c r="F25" s="279">
        <v>0</v>
      </c>
      <c r="G25" s="279">
        <v>0</v>
      </c>
      <c r="H25" s="664">
        <v>0</v>
      </c>
      <c r="I25" s="279">
        <v>0</v>
      </c>
      <c r="J25" s="674">
        <v>0</v>
      </c>
      <c r="K25" s="675">
        <v>0</v>
      </c>
      <c r="L25" s="279">
        <v>0</v>
      </c>
      <c r="M25" s="676">
        <v>0</v>
      </c>
      <c r="N25" s="53"/>
    </row>
    <row r="26" ht="17.4" spans="1:14">
      <c r="A26" s="659">
        <v>22</v>
      </c>
      <c r="B26" s="659" t="s">
        <v>424</v>
      </c>
      <c r="C26" s="664">
        <v>0</v>
      </c>
      <c r="D26" s="664">
        <v>0</v>
      </c>
      <c r="E26" s="664">
        <v>0</v>
      </c>
      <c r="F26" s="279">
        <v>0</v>
      </c>
      <c r="G26" s="279">
        <v>0</v>
      </c>
      <c r="H26" s="664">
        <v>0</v>
      </c>
      <c r="I26" s="279">
        <v>0</v>
      </c>
      <c r="J26" s="674">
        <v>0</v>
      </c>
      <c r="K26" s="675">
        <v>0</v>
      </c>
      <c r="L26" s="279">
        <v>0</v>
      </c>
      <c r="M26" s="676">
        <v>0</v>
      </c>
      <c r="N26" s="53"/>
    </row>
    <row r="27" s="176" customFormat="1" ht="17.4" spans="1:13">
      <c r="A27" s="665"/>
      <c r="B27" s="665" t="s">
        <v>425</v>
      </c>
      <c r="C27" s="666">
        <v>12522684.4438475</v>
      </c>
      <c r="D27" s="666">
        <v>18907788.7137724</v>
      </c>
      <c r="E27" s="666">
        <v>26796754.8626317</v>
      </c>
      <c r="F27" s="666">
        <v>35962392.4426854</v>
      </c>
      <c r="G27" s="666">
        <v>77442098.9547767</v>
      </c>
      <c r="H27" s="666">
        <v>4109769.93739883</v>
      </c>
      <c r="I27" s="666">
        <v>2984931.95463327</v>
      </c>
      <c r="J27" s="666">
        <v>7102113.62678065</v>
      </c>
      <c r="K27" s="666">
        <v>6487038.88175545</v>
      </c>
      <c r="L27" s="666">
        <v>19176193.8038042</v>
      </c>
      <c r="M27" s="677">
        <v>20598480.7526396</v>
      </c>
    </row>
    <row r="28" ht="17.4" spans="1:13">
      <c r="A28" s="659"/>
      <c r="B28" s="659"/>
      <c r="C28" s="667"/>
      <c r="D28" s="668"/>
      <c r="E28" s="668"/>
      <c r="F28" s="151"/>
      <c r="G28" s="264"/>
      <c r="H28" s="215"/>
      <c r="I28" s="215"/>
      <c r="J28" s="215"/>
      <c r="K28" s="151"/>
      <c r="L28" s="151"/>
      <c r="M28" s="151"/>
    </row>
    <row r="29" ht="17.4" spans="1:13">
      <c r="A29" s="659"/>
      <c r="B29" s="45" t="s">
        <v>426</v>
      </c>
      <c r="C29" s="668"/>
      <c r="D29" s="668"/>
      <c r="E29" s="668"/>
      <c r="F29" s="151"/>
      <c r="G29" s="151"/>
      <c r="H29" s="668"/>
      <c r="I29" s="668"/>
      <c r="J29" s="668"/>
      <c r="K29" s="668"/>
      <c r="L29" s="668"/>
      <c r="M29" s="668"/>
    </row>
    <row r="30" ht="17.4" spans="1:13">
      <c r="A30" s="659">
        <v>1</v>
      </c>
      <c r="B30" s="659" t="s">
        <v>403</v>
      </c>
      <c r="C30" s="668">
        <v>0.11530431325924</v>
      </c>
      <c r="D30" s="668">
        <v>0.115952582316823</v>
      </c>
      <c r="E30" s="668">
        <v>0.0928645565616526</v>
      </c>
      <c r="F30" s="668">
        <v>0.109715926135452</v>
      </c>
      <c r="G30" s="668">
        <v>0.127113681284149</v>
      </c>
      <c r="H30" s="668">
        <v>0.124960982600657</v>
      </c>
      <c r="I30" s="668">
        <v>0.0970262007582625</v>
      </c>
      <c r="J30" s="668">
        <v>0.0995016887138752</v>
      </c>
      <c r="K30" s="668">
        <v>0.0884398993653247</v>
      </c>
      <c r="L30" s="668">
        <v>0.0967388088174194</v>
      </c>
      <c r="M30" s="678">
        <v>0.108986287392497</v>
      </c>
    </row>
    <row r="31" ht="17.4" spans="1:13">
      <c r="A31" s="659">
        <v>2</v>
      </c>
      <c r="B31" s="659" t="s">
        <v>404</v>
      </c>
      <c r="C31" s="668">
        <v>1.51655776192881</v>
      </c>
      <c r="D31" s="668">
        <v>1.37142081694379</v>
      </c>
      <c r="E31" s="668">
        <v>1.18128708449803</v>
      </c>
      <c r="F31" s="668">
        <v>2.18829625366595</v>
      </c>
      <c r="G31" s="668">
        <v>2.04810196988574</v>
      </c>
      <c r="H31" s="668">
        <v>1.55593495154944</v>
      </c>
      <c r="I31" s="668">
        <v>2.7717453577502</v>
      </c>
      <c r="J31" s="668">
        <v>1.47136339561367</v>
      </c>
      <c r="K31" s="668">
        <v>2.53582490652276</v>
      </c>
      <c r="L31" s="668">
        <v>3.07446534195293</v>
      </c>
      <c r="M31" s="678">
        <v>1.74290406747721</v>
      </c>
    </row>
    <row r="32" ht="17.4" spans="1:13">
      <c r="A32" s="659">
        <v>3</v>
      </c>
      <c r="B32" s="659" t="s">
        <v>405</v>
      </c>
      <c r="C32" s="668">
        <v>0.0483404079867568</v>
      </c>
      <c r="D32" s="668">
        <v>0.0361814161669627</v>
      </c>
      <c r="E32" s="668">
        <v>0.0342491382361389</v>
      </c>
      <c r="F32" s="668">
        <v>0.0327964007130591</v>
      </c>
      <c r="G32" s="668">
        <v>0.0522872914770376</v>
      </c>
      <c r="H32" s="668">
        <v>0.0143067095890078</v>
      </c>
      <c r="I32" s="668">
        <v>0.157855623943659</v>
      </c>
      <c r="J32" s="668">
        <v>0.0222063376036677</v>
      </c>
      <c r="K32" s="668">
        <v>0.0179479997989303</v>
      </c>
      <c r="L32" s="668">
        <v>0.0289021925659225</v>
      </c>
      <c r="M32" s="678">
        <v>0.0252021221613869</v>
      </c>
    </row>
    <row r="33" ht="17.4" spans="1:13">
      <c r="A33" s="659">
        <v>4</v>
      </c>
      <c r="B33" s="659" t="s">
        <v>406</v>
      </c>
      <c r="C33" s="668">
        <v>1.35170131981684</v>
      </c>
      <c r="D33" s="668">
        <v>1.82624111274037</v>
      </c>
      <c r="E33" s="668">
        <v>1.51417863347263</v>
      </c>
      <c r="F33" s="668">
        <v>1.70220404830413</v>
      </c>
      <c r="G33" s="668">
        <v>3.9520529634128</v>
      </c>
      <c r="H33" s="668">
        <v>1.78900916141173</v>
      </c>
      <c r="I33" s="668">
        <v>1.8947061573842</v>
      </c>
      <c r="J33" s="668">
        <v>1.80797079766231</v>
      </c>
      <c r="K33" s="668">
        <v>2.13869353321936</v>
      </c>
      <c r="L33" s="668">
        <v>2.46564577963904</v>
      </c>
      <c r="M33" s="678">
        <v>6.93990030392038</v>
      </c>
    </row>
    <row r="34" ht="17.4" spans="1:13">
      <c r="A34" s="659">
        <v>5</v>
      </c>
      <c r="B34" s="659" t="s">
        <v>407</v>
      </c>
      <c r="C34" s="668">
        <v>88.8067265367597</v>
      </c>
      <c r="D34" s="668">
        <v>89.4346718297475</v>
      </c>
      <c r="E34" s="668">
        <v>91.0183024528772</v>
      </c>
      <c r="F34" s="668">
        <v>91.9714879820237</v>
      </c>
      <c r="G34" s="668">
        <v>88.9297205749789</v>
      </c>
      <c r="H34" s="668">
        <v>84.9732098603268</v>
      </c>
      <c r="I34" s="668">
        <v>88.7821823234588</v>
      </c>
      <c r="J34" s="668">
        <v>90.4208978653041</v>
      </c>
      <c r="K34" s="668">
        <v>90.5862561482968</v>
      </c>
      <c r="L34" s="668">
        <v>91.3602030901503</v>
      </c>
      <c r="M34" s="678">
        <v>85.2253153914884</v>
      </c>
    </row>
    <row r="35" ht="17.4" spans="1:13">
      <c r="A35" s="659">
        <v>6</v>
      </c>
      <c r="B35" s="659" t="s">
        <v>408</v>
      </c>
      <c r="C35" s="668">
        <v>0.630608508369772</v>
      </c>
      <c r="D35" s="668">
        <v>2.14662592144011</v>
      </c>
      <c r="E35" s="668">
        <v>3.15100934370091</v>
      </c>
      <c r="F35" s="668">
        <v>1.75674697595261</v>
      </c>
      <c r="G35" s="668">
        <v>1.72341571335196</v>
      </c>
      <c r="H35" s="668">
        <v>0.811658565452027</v>
      </c>
      <c r="I35" s="668">
        <v>0.689474690741771</v>
      </c>
      <c r="J35" s="668">
        <v>3.04289526179705</v>
      </c>
      <c r="K35" s="668">
        <v>2.38984076502572</v>
      </c>
      <c r="L35" s="668">
        <v>1.32906805246393</v>
      </c>
      <c r="M35" s="678">
        <v>4.22117934173799</v>
      </c>
    </row>
    <row r="36" ht="17.4" spans="1:13">
      <c r="A36" s="659">
        <v>7</v>
      </c>
      <c r="B36" s="659" t="s">
        <v>409</v>
      </c>
      <c r="C36" s="668">
        <v>0.0846768753692485</v>
      </c>
      <c r="D36" s="668">
        <v>0.236067333389498</v>
      </c>
      <c r="E36" s="668">
        <v>0.2033359297262</v>
      </c>
      <c r="F36" s="668">
        <v>0.147849345351579</v>
      </c>
      <c r="G36" s="668">
        <v>0.240745705266546</v>
      </c>
      <c r="H36" s="668">
        <v>0.127423190196736</v>
      </c>
      <c r="I36" s="668">
        <v>0.101108586285036</v>
      </c>
      <c r="J36" s="668">
        <v>0.248574512977406</v>
      </c>
      <c r="K36" s="668">
        <v>0.136982618578407</v>
      </c>
      <c r="L36" s="668">
        <v>0.158817983460613</v>
      </c>
      <c r="M36" s="678">
        <v>0.267327767708905</v>
      </c>
    </row>
    <row r="37" ht="17.4" spans="1:13">
      <c r="A37" s="659">
        <v>8</v>
      </c>
      <c r="B37" s="659" t="s">
        <v>410</v>
      </c>
      <c r="C37" s="668">
        <v>0.187930825400559</v>
      </c>
      <c r="D37" s="668">
        <v>0.196831486204664</v>
      </c>
      <c r="E37" s="668">
        <v>0.136982688877944</v>
      </c>
      <c r="F37" s="668">
        <v>0.131252678279219</v>
      </c>
      <c r="G37" s="668">
        <v>0.0611195167815883</v>
      </c>
      <c r="H37" s="668">
        <v>0.134664317031888</v>
      </c>
      <c r="I37" s="668">
        <v>0.478909862258697</v>
      </c>
      <c r="J37" s="668">
        <v>0.0681286271306011</v>
      </c>
      <c r="K37" s="668">
        <v>0.154674165000731</v>
      </c>
      <c r="L37" s="668">
        <v>0.0478137415981374</v>
      </c>
      <c r="M37" s="678">
        <v>0.0360062497943183</v>
      </c>
    </row>
    <row r="38" ht="17.4" spans="1:13">
      <c r="A38" s="659">
        <v>9</v>
      </c>
      <c r="B38" s="659" t="s">
        <v>411</v>
      </c>
      <c r="C38" s="668">
        <v>0.00435405000656935</v>
      </c>
      <c r="D38" s="668">
        <v>0.0240870753234069</v>
      </c>
      <c r="E38" s="668">
        <v>0.000624063872126554</v>
      </c>
      <c r="F38" s="668">
        <v>0.000568008340203037</v>
      </c>
      <c r="G38" s="668">
        <v>0.00415860386503426</v>
      </c>
      <c r="H38" s="668">
        <v>0.00416887352357343</v>
      </c>
      <c r="I38" s="668">
        <v>0.0591777473358526</v>
      </c>
      <c r="J38" s="668">
        <v>0</v>
      </c>
      <c r="K38" s="668">
        <v>5.33146565488766e-5</v>
      </c>
      <c r="L38" s="668">
        <v>0.00201461549355201</v>
      </c>
      <c r="M38" s="678">
        <v>0.0020334900858954</v>
      </c>
    </row>
    <row r="39" ht="17.4" spans="1:13">
      <c r="A39" s="659">
        <v>10</v>
      </c>
      <c r="B39" s="659" t="s">
        <v>412</v>
      </c>
      <c r="C39" s="668">
        <v>0.00859489614064182</v>
      </c>
      <c r="D39" s="668">
        <v>0.0114536811166741</v>
      </c>
      <c r="E39" s="668">
        <v>0.00977750262534097</v>
      </c>
      <c r="F39" s="668">
        <v>0.010992709881859</v>
      </c>
      <c r="G39" s="668">
        <v>0.0113154854512366</v>
      </c>
      <c r="H39" s="668">
        <v>0.011752552810674</v>
      </c>
      <c r="I39" s="668">
        <v>0.00248853939349268</v>
      </c>
      <c r="J39" s="668">
        <v>0.00872768218761904</v>
      </c>
      <c r="K39" s="668">
        <v>0.00899411031681859</v>
      </c>
      <c r="L39" s="668">
        <v>0.00674318617448199</v>
      </c>
      <c r="M39" s="678">
        <v>0.00924955039330192</v>
      </c>
    </row>
    <row r="40" ht="17.4" spans="1:13">
      <c r="A40" s="659">
        <v>11</v>
      </c>
      <c r="B40" s="659" t="s">
        <v>413</v>
      </c>
      <c r="C40" s="668">
        <v>0.0480958023001139</v>
      </c>
      <c r="D40" s="668">
        <v>0.0650127531070313</v>
      </c>
      <c r="E40" s="668">
        <v>0.0383170599309972</v>
      </c>
      <c r="F40" s="668">
        <v>0.0521524552157145</v>
      </c>
      <c r="G40" s="668">
        <v>0.0477532942225295</v>
      </c>
      <c r="H40" s="668">
        <v>0.0710659293646142</v>
      </c>
      <c r="I40" s="668">
        <v>0.114671949566788</v>
      </c>
      <c r="J40" s="668">
        <v>0.0293406038890084</v>
      </c>
      <c r="K40" s="668">
        <v>0.0409625220784082</v>
      </c>
      <c r="L40" s="668">
        <v>0.0442923341200797</v>
      </c>
      <c r="M40" s="678">
        <v>0.0150735157860471</v>
      </c>
    </row>
    <row r="41" ht="17.4" spans="1:13">
      <c r="A41" s="659">
        <v>12</v>
      </c>
      <c r="B41" s="659" t="s">
        <v>414</v>
      </c>
      <c r="C41" s="668">
        <v>0.0145090067507264</v>
      </c>
      <c r="D41" s="668">
        <v>0.0225352623133362</v>
      </c>
      <c r="E41" s="668">
        <v>0.0199625375773081</v>
      </c>
      <c r="F41" s="668">
        <v>0.0166180129586749</v>
      </c>
      <c r="G41" s="668">
        <v>0.0197078431104024</v>
      </c>
      <c r="H41" s="668">
        <v>0.014417089109251</v>
      </c>
      <c r="I41" s="668">
        <v>0.0251653006968559</v>
      </c>
      <c r="J41" s="668">
        <v>0.0120240427414437</v>
      </c>
      <c r="K41" s="668">
        <v>0.0228639251298681</v>
      </c>
      <c r="L41" s="668">
        <v>0.0120192088227266</v>
      </c>
      <c r="M41" s="678">
        <v>0.0309085426831497</v>
      </c>
    </row>
    <row r="42" ht="17.4" spans="1:13">
      <c r="A42" s="659">
        <v>13</v>
      </c>
      <c r="B42" s="659" t="s">
        <v>415</v>
      </c>
      <c r="C42" s="668">
        <v>0.00869624587354382</v>
      </c>
      <c r="D42" s="668">
        <v>0.116739402540621</v>
      </c>
      <c r="E42" s="668">
        <v>0.280546178765188</v>
      </c>
      <c r="F42" s="668">
        <v>0.278402009047015</v>
      </c>
      <c r="G42" s="668">
        <v>0.316147849774105</v>
      </c>
      <c r="H42" s="668">
        <v>0.00997964387465415</v>
      </c>
      <c r="I42" s="668">
        <v>0.0575788604092706</v>
      </c>
      <c r="J42" s="668">
        <v>0.198037028653363</v>
      </c>
      <c r="K42" s="668">
        <v>0.292234544060833</v>
      </c>
      <c r="L42" s="668">
        <v>0.279192524767187</v>
      </c>
      <c r="M42" s="678">
        <v>0.44846216820579</v>
      </c>
    </row>
    <row r="43" ht="17.4" spans="1:13">
      <c r="A43" s="659">
        <v>14</v>
      </c>
      <c r="B43" s="659" t="s">
        <v>416</v>
      </c>
      <c r="C43" s="668">
        <v>0.00622300749407506</v>
      </c>
      <c r="D43" s="668">
        <v>0.0188323511437608</v>
      </c>
      <c r="E43" s="668">
        <v>0.00676233318336232</v>
      </c>
      <c r="F43" s="668">
        <v>0.00298426160484294</v>
      </c>
      <c r="G43" s="668">
        <v>0.00300083717842807</v>
      </c>
      <c r="H43" s="668">
        <v>0.00141377454906332</v>
      </c>
      <c r="I43" s="668">
        <v>0.000530476414225176</v>
      </c>
      <c r="J43" s="668">
        <v>0.00720465331715543</v>
      </c>
      <c r="K43" s="668">
        <v>0</v>
      </c>
      <c r="L43" s="668">
        <v>0.000492830501437942</v>
      </c>
      <c r="M43" s="678">
        <v>0</v>
      </c>
    </row>
    <row r="44" ht="17.4" spans="1:13">
      <c r="A44" s="659">
        <v>15</v>
      </c>
      <c r="B44" s="659" t="s">
        <v>417</v>
      </c>
      <c r="C44" s="668">
        <v>0.284419384446831</v>
      </c>
      <c r="D44" s="668">
        <v>0.80516160041489</v>
      </c>
      <c r="E44" s="668">
        <v>0.912864143739859</v>
      </c>
      <c r="F44" s="668">
        <v>1.08406753608559</v>
      </c>
      <c r="G44" s="668">
        <v>1.07776592704058</v>
      </c>
      <c r="H44" s="668">
        <v>0.324455327867809</v>
      </c>
      <c r="I44" s="668">
        <v>0.544356366846773</v>
      </c>
      <c r="J44" s="668">
        <v>0.824421055520481</v>
      </c>
      <c r="K44" s="668">
        <v>0.983067069232669</v>
      </c>
      <c r="L44" s="668">
        <v>0.952087532514311</v>
      </c>
      <c r="M44" s="678">
        <v>0.624342527399015</v>
      </c>
    </row>
    <row r="45" ht="17.4" spans="1:13">
      <c r="A45" s="659">
        <v>16</v>
      </c>
      <c r="B45" s="659" t="s">
        <v>418</v>
      </c>
      <c r="C45" s="668">
        <v>0.142677793026225</v>
      </c>
      <c r="D45" s="668">
        <v>0.102065992797884</v>
      </c>
      <c r="E45" s="668">
        <v>0.0328562766803037</v>
      </c>
      <c r="F45" s="668">
        <v>0.169043012251588</v>
      </c>
      <c r="G45" s="668">
        <v>0.139869434205079</v>
      </c>
      <c r="H45" s="668">
        <v>0.143809065255383</v>
      </c>
      <c r="I45" s="668">
        <v>0.537765629101993</v>
      </c>
      <c r="J45" s="668">
        <v>0.0181816916447777</v>
      </c>
      <c r="K45" s="668">
        <v>0.08307540377254</v>
      </c>
      <c r="L45" s="668">
        <v>0.0886430359342729</v>
      </c>
      <c r="M45" s="678">
        <v>0.0738300690135177</v>
      </c>
    </row>
    <row r="46" ht="17.4" spans="1:13">
      <c r="A46" s="659">
        <v>17</v>
      </c>
      <c r="B46" s="659" t="s">
        <v>419</v>
      </c>
      <c r="C46" s="668">
        <v>6.72377280112805</v>
      </c>
      <c r="D46" s="668">
        <v>3.45977528788707</v>
      </c>
      <c r="E46" s="668">
        <v>1.36129597883198</v>
      </c>
      <c r="F46" s="668">
        <v>0.329534558223376</v>
      </c>
      <c r="G46" s="668">
        <v>1.22243003181597</v>
      </c>
      <c r="H46" s="668">
        <v>9.88585136209225</v>
      </c>
      <c r="I46" s="668">
        <v>3.67677529015846</v>
      </c>
      <c r="J46" s="668">
        <v>1.71923051856815</v>
      </c>
      <c r="K46" s="668">
        <v>0.497960222573208</v>
      </c>
      <c r="L46" s="668">
        <v>0.0409177830384901</v>
      </c>
      <c r="M46" s="678">
        <v>0.219491125655984</v>
      </c>
    </row>
    <row r="47" ht="17.4" spans="1:13">
      <c r="A47" s="659">
        <v>18</v>
      </c>
      <c r="B47" s="659" t="s">
        <v>420</v>
      </c>
      <c r="C47" s="668">
        <v>0.0166061240644908</v>
      </c>
      <c r="D47" s="668">
        <v>0.00569804073373869</v>
      </c>
      <c r="E47" s="668">
        <v>0.00287958693147226</v>
      </c>
      <c r="F47" s="668">
        <v>0.00551606866854732</v>
      </c>
      <c r="G47" s="668">
        <v>0.0167512347469991</v>
      </c>
      <c r="H47" s="668">
        <v>0.0017902772773351</v>
      </c>
      <c r="I47" s="668">
        <v>0.00484651778461643</v>
      </c>
      <c r="J47" s="668">
        <v>0</v>
      </c>
      <c r="K47" s="668">
        <v>0.0146900422730644</v>
      </c>
      <c r="L47" s="668">
        <v>0.00961756477641629</v>
      </c>
      <c r="M47" s="678">
        <v>0.00464272950264766</v>
      </c>
    </row>
    <row r="48" ht="17.4" spans="1:13">
      <c r="A48" s="659">
        <v>19</v>
      </c>
      <c r="B48" s="659" t="s">
        <v>421</v>
      </c>
      <c r="C48" s="668">
        <v>0</v>
      </c>
      <c r="D48" s="668">
        <v>0.00101884867721036</v>
      </c>
      <c r="E48" s="668">
        <v>0</v>
      </c>
      <c r="F48" s="668">
        <v>0</v>
      </c>
      <c r="G48" s="668">
        <v>0</v>
      </c>
      <c r="H48" s="668">
        <v>0</v>
      </c>
      <c r="I48" s="668">
        <v>0</v>
      </c>
      <c r="J48" s="668">
        <v>0</v>
      </c>
      <c r="K48" s="668">
        <v>0</v>
      </c>
      <c r="L48" s="668">
        <v>0</v>
      </c>
      <c r="M48" s="678">
        <v>0</v>
      </c>
    </row>
    <row r="49" ht="17.4" spans="1:13">
      <c r="A49" s="659">
        <v>20</v>
      </c>
      <c r="B49" s="659" t="s">
        <v>422</v>
      </c>
      <c r="C49" s="668">
        <v>0.000204339877801297</v>
      </c>
      <c r="D49" s="668">
        <v>0.00362720499464036</v>
      </c>
      <c r="E49" s="668">
        <v>0.00190450991132767</v>
      </c>
      <c r="F49" s="668">
        <v>0.00977175729691133</v>
      </c>
      <c r="G49" s="668">
        <v>0.00654204215096304</v>
      </c>
      <c r="H49" s="668">
        <v>0.000128366117090706</v>
      </c>
      <c r="I49" s="668">
        <v>0.0036345197109637</v>
      </c>
      <c r="J49" s="668">
        <v>0.00129423667538062</v>
      </c>
      <c r="K49" s="668">
        <v>0.00743881009801217</v>
      </c>
      <c r="L49" s="668">
        <v>0.0023243932087481</v>
      </c>
      <c r="M49" s="678">
        <v>0.00514474959355533</v>
      </c>
    </row>
    <row r="50" ht="17.4" spans="1:13">
      <c r="A50" s="659">
        <v>21</v>
      </c>
      <c r="B50" s="659" t="s">
        <v>423</v>
      </c>
      <c r="C50" s="668">
        <v>0</v>
      </c>
      <c r="D50" s="668">
        <v>0</v>
      </c>
      <c r="E50" s="668">
        <v>0</v>
      </c>
      <c r="F50" s="668">
        <v>0</v>
      </c>
      <c r="G50" s="668">
        <v>0</v>
      </c>
      <c r="H50" s="668">
        <v>0</v>
      </c>
      <c r="I50" s="668">
        <v>0</v>
      </c>
      <c r="J50" s="668">
        <v>0</v>
      </c>
      <c r="K50" s="668">
        <v>0</v>
      </c>
      <c r="L50" s="668">
        <v>0</v>
      </c>
      <c r="M50" s="678">
        <v>0</v>
      </c>
    </row>
    <row r="51" ht="17.4" spans="1:13">
      <c r="A51" s="659">
        <v>22</v>
      </c>
      <c r="B51" s="659" t="s">
        <v>424</v>
      </c>
      <c r="C51" s="668">
        <v>0</v>
      </c>
      <c r="D51" s="668">
        <v>0</v>
      </c>
      <c r="E51" s="668">
        <v>0</v>
      </c>
      <c r="F51" s="668">
        <v>0</v>
      </c>
      <c r="G51" s="668">
        <v>0</v>
      </c>
      <c r="H51" s="668">
        <v>0</v>
      </c>
      <c r="I51" s="668">
        <v>0</v>
      </c>
      <c r="J51" s="668">
        <v>0</v>
      </c>
      <c r="K51" s="668">
        <v>0</v>
      </c>
      <c r="L51" s="668">
        <v>0</v>
      </c>
      <c r="M51" s="678">
        <v>0</v>
      </c>
    </row>
    <row r="52" s="176" customFormat="1" ht="17.4" spans="1:13">
      <c r="A52" s="665"/>
      <c r="B52" s="665" t="s">
        <v>425</v>
      </c>
      <c r="C52" s="667">
        <v>100</v>
      </c>
      <c r="D52" s="667">
        <v>100</v>
      </c>
      <c r="E52" s="667">
        <v>100</v>
      </c>
      <c r="F52" s="667">
        <v>100</v>
      </c>
      <c r="G52" s="667">
        <v>100</v>
      </c>
      <c r="H52" s="667">
        <v>100</v>
      </c>
      <c r="I52" s="667">
        <v>100</v>
      </c>
      <c r="J52" s="668">
        <v>100</v>
      </c>
      <c r="K52" s="668">
        <v>100</v>
      </c>
      <c r="L52" s="668">
        <v>100</v>
      </c>
      <c r="M52" s="678">
        <v>100</v>
      </c>
    </row>
    <row r="53" spans="1:10">
      <c r="A53"/>
      <c r="B53"/>
      <c r="C53" s="277"/>
      <c r="D53" s="669"/>
      <c r="E53" s="669"/>
      <c r="F53" s="669"/>
      <c r="G53" s="669"/>
      <c r="H53" s="277"/>
      <c r="I53" s="277"/>
      <c r="J53" s="277"/>
    </row>
    <row r="54" spans="1:2">
      <c r="A54" s="670"/>
      <c r="B54" s="630"/>
    </row>
    <row r="55" spans="1:2">
      <c r="A55" s="670"/>
      <c r="B55" s="630"/>
    </row>
    <row r="56" spans="1:2">
      <c r="A56" s="670"/>
      <c r="B56" s="630"/>
    </row>
    <row r="57" spans="1:2">
      <c r="A57" s="670"/>
      <c r="B57" s="630"/>
    </row>
    <row r="58" spans="1:2">
      <c r="A58" s="670"/>
      <c r="B58" s="630"/>
    </row>
    <row r="59" spans="1:2">
      <c r="A59" s="670"/>
      <c r="B59" s="630"/>
    </row>
    <row r="60" spans="1:2">
      <c r="A60" s="670"/>
      <c r="B60" s="630"/>
    </row>
    <row r="61" spans="1:2">
      <c r="A61" s="670"/>
      <c r="B61" s="630"/>
    </row>
    <row r="62" spans="1:2">
      <c r="A62" s="670"/>
      <c r="B62" s="630"/>
    </row>
    <row r="63" spans="1:2">
      <c r="A63" s="670"/>
      <c r="B63" s="630"/>
    </row>
    <row r="64" spans="1:2">
      <c r="A64" s="670"/>
      <c r="B64" s="630"/>
    </row>
    <row r="65" spans="1:2">
      <c r="A65" s="670"/>
      <c r="B65" s="630"/>
    </row>
    <row r="66" spans="1:2">
      <c r="A66" s="670"/>
      <c r="B66" s="630"/>
    </row>
    <row r="67" spans="1:2">
      <c r="A67" s="670"/>
      <c r="B67" s="630"/>
    </row>
    <row r="68" spans="1:2">
      <c r="A68" s="670"/>
      <c r="B68" s="630"/>
    </row>
    <row r="69" spans="1:2">
      <c r="A69" s="670"/>
      <c r="B69" s="630"/>
    </row>
    <row r="70" spans="1:2">
      <c r="A70" s="670"/>
      <c r="B70" s="630"/>
    </row>
    <row r="71" spans="1:2">
      <c r="A71" s="670"/>
      <c r="B71" s="630"/>
    </row>
    <row r="72" spans="1:2">
      <c r="A72" s="670"/>
      <c r="B72" s="630"/>
    </row>
    <row r="73" spans="1:2">
      <c r="A73" s="670"/>
      <c r="B73" s="630"/>
    </row>
    <row r="74" spans="1:2">
      <c r="A74" s="670"/>
      <c r="B74" s="630"/>
    </row>
    <row r="75" spans="1:2">
      <c r="A75" s="670"/>
      <c r="B75" s="630"/>
    </row>
    <row r="76" spans="1:2">
      <c r="A76" s="670"/>
      <c r="B76" s="630"/>
    </row>
    <row r="77" spans="1:2">
      <c r="A77" s="670"/>
      <c r="B77" s="630"/>
    </row>
    <row r="78" spans="1:2">
      <c r="A78" s="670"/>
      <c r="B78" s="630"/>
    </row>
    <row r="79" spans="1:2">
      <c r="A79" s="670"/>
      <c r="B79" s="630"/>
    </row>
    <row r="80" spans="1:2">
      <c r="A80" s="670"/>
      <c r="B80" s="630"/>
    </row>
    <row r="81" spans="1:2">
      <c r="A81" s="670"/>
      <c r="B81" s="630"/>
    </row>
    <row r="82" spans="1:2">
      <c r="A82" s="670"/>
      <c r="B82" s="630"/>
    </row>
    <row r="83" spans="1:2">
      <c r="A83" s="670"/>
      <c r="B83" s="630"/>
    </row>
    <row r="84" spans="1:2">
      <c r="A84" s="670"/>
      <c r="B84" s="630"/>
    </row>
    <row r="85" spans="1:2">
      <c r="A85" s="670"/>
      <c r="B85" s="630"/>
    </row>
    <row r="86" spans="1:2">
      <c r="A86" s="670"/>
      <c r="B86" s="630"/>
    </row>
    <row r="87" spans="1:2">
      <c r="A87" s="670"/>
      <c r="B87" s="630"/>
    </row>
    <row r="88" spans="1:2">
      <c r="A88" s="670"/>
      <c r="B88" s="630"/>
    </row>
    <row r="89" spans="1:2">
      <c r="A89" s="670"/>
      <c r="B89" s="630"/>
    </row>
    <row r="90" spans="1:2">
      <c r="A90" s="670"/>
      <c r="B90" s="630"/>
    </row>
    <row r="91" spans="1:2">
      <c r="A91" s="670"/>
      <c r="B91" s="630"/>
    </row>
  </sheetData>
  <mergeCells count="1">
    <mergeCell ref="A2:L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8"/>
  <sheetViews>
    <sheetView zoomScale="97" zoomScaleNormal="97" topLeftCell="I1" workbookViewId="0">
      <selection activeCell="G14" sqref="G14"/>
    </sheetView>
  </sheetViews>
  <sheetFormatPr defaultColWidth="8.81481481481481" defaultRowHeight="14.4"/>
  <cols>
    <col min="1" max="1" width="20.8148148148148" style="135" customWidth="1"/>
    <col min="2" max="2" width="10.7222222222222" style="135" customWidth="1"/>
    <col min="3" max="3" width="17.1759259259259" style="282" customWidth="1"/>
    <col min="4" max="5" width="17.1759259259259" style="135" customWidth="1"/>
    <col min="6" max="6" width="17.1759259259259" style="282" customWidth="1"/>
    <col min="7" max="9" width="17.1759259259259" style="135" customWidth="1"/>
    <col min="10" max="10" width="22.9074074074074" style="135" customWidth="1"/>
    <col min="11" max="11" width="18" style="282" customWidth="1"/>
    <col min="12" max="18" width="17.1759259259259" style="135" customWidth="1"/>
    <col min="19" max="19" width="17.1759259259259" style="282" customWidth="1"/>
    <col min="20" max="25" width="17.1759259259259" style="135" customWidth="1"/>
    <col min="26" max="26" width="15" customWidth="1"/>
  </cols>
  <sheetData>
    <row r="1" spans="1:25">
      <c r="A1" s="600" t="s">
        <v>430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</row>
    <row r="2" spans="1:25">
      <c r="A2" s="636"/>
      <c r="B2" s="637"/>
      <c r="C2" s="602" t="s">
        <v>431</v>
      </c>
      <c r="D2" s="602"/>
      <c r="E2" s="602"/>
      <c r="F2" s="602" t="s">
        <v>432</v>
      </c>
      <c r="G2" s="602"/>
      <c r="H2" s="602"/>
      <c r="I2" s="602"/>
      <c r="J2" s="602"/>
      <c r="K2" s="602" t="s">
        <v>433</v>
      </c>
      <c r="L2" s="602"/>
      <c r="M2" s="602"/>
      <c r="N2" s="602"/>
      <c r="O2" s="602"/>
      <c r="P2" s="602"/>
      <c r="Q2" s="602"/>
      <c r="R2" s="341"/>
      <c r="S2" s="602" t="s">
        <v>434</v>
      </c>
      <c r="T2" s="602"/>
      <c r="U2" s="602"/>
      <c r="V2" s="602"/>
      <c r="W2" s="341"/>
      <c r="X2" s="652" t="s">
        <v>435</v>
      </c>
      <c r="Y2" s="608" t="s">
        <v>425</v>
      </c>
    </row>
    <row r="3" spans="1:25">
      <c r="A3" s="638"/>
      <c r="B3" s="341"/>
      <c r="C3" s="341" t="s">
        <v>425</v>
      </c>
      <c r="D3" s="341" t="s">
        <v>436</v>
      </c>
      <c r="E3" s="341" t="s">
        <v>437</v>
      </c>
      <c r="F3" s="341" t="s">
        <v>425</v>
      </c>
      <c r="G3" s="341" t="s">
        <v>438</v>
      </c>
      <c r="H3" s="341" t="s">
        <v>186</v>
      </c>
      <c r="I3" s="341" t="s">
        <v>178</v>
      </c>
      <c r="J3" s="341" t="s">
        <v>437</v>
      </c>
      <c r="K3" s="341" t="s">
        <v>425</v>
      </c>
      <c r="L3" s="341" t="s">
        <v>311</v>
      </c>
      <c r="M3" s="341" t="s">
        <v>439</v>
      </c>
      <c r="N3" s="341" t="s">
        <v>162</v>
      </c>
      <c r="O3" s="341" t="s">
        <v>176</v>
      </c>
      <c r="P3" s="341" t="s">
        <v>168</v>
      </c>
      <c r="Q3" s="341" t="s">
        <v>171</v>
      </c>
      <c r="R3" s="341" t="s">
        <v>440</v>
      </c>
      <c r="S3" s="341" t="s">
        <v>425</v>
      </c>
      <c r="T3" s="341" t="s">
        <v>441</v>
      </c>
      <c r="U3" s="341" t="s">
        <v>157</v>
      </c>
      <c r="V3" s="608" t="s">
        <v>159</v>
      </c>
      <c r="W3" s="608" t="s">
        <v>437</v>
      </c>
      <c r="X3" s="652"/>
      <c r="Y3" s="608"/>
    </row>
    <row r="4" spans="1:27">
      <c r="A4" s="608">
        <v>2020</v>
      </c>
      <c r="B4" s="639" t="s">
        <v>368</v>
      </c>
      <c r="C4" s="640">
        <v>406882.65486</v>
      </c>
      <c r="D4" s="640">
        <v>75018.470833</v>
      </c>
      <c r="E4" s="640">
        <v>331864.184027</v>
      </c>
      <c r="F4" s="640">
        <v>1571578.663792</v>
      </c>
      <c r="G4" s="640">
        <v>1026145.825876</v>
      </c>
      <c r="H4" s="640">
        <v>135365.023891</v>
      </c>
      <c r="I4" s="640">
        <v>283307.47592</v>
      </c>
      <c r="J4" s="640">
        <v>126760.338105</v>
      </c>
      <c r="K4" s="640">
        <v>4659558.709137</v>
      </c>
      <c r="L4" s="640">
        <v>395300.57961</v>
      </c>
      <c r="M4" s="640">
        <v>282149.181712</v>
      </c>
      <c r="N4" s="640">
        <v>1163118.008113</v>
      </c>
      <c r="O4" s="640">
        <v>272050.672054</v>
      </c>
      <c r="P4" s="640">
        <v>269948.729163</v>
      </c>
      <c r="Q4" s="640">
        <v>194120.934406</v>
      </c>
      <c r="R4" s="640">
        <v>2082870.604079</v>
      </c>
      <c r="S4" s="640">
        <v>5968827.229148</v>
      </c>
      <c r="T4" s="640">
        <v>140594.462842</v>
      </c>
      <c r="U4" s="640">
        <v>1104562.375594</v>
      </c>
      <c r="V4" s="640">
        <v>3227000.370761</v>
      </c>
      <c r="W4" s="640">
        <v>1496670.019951</v>
      </c>
      <c r="X4" s="640">
        <v>94096.550889</v>
      </c>
      <c r="Y4" s="640">
        <v>12700943.807826</v>
      </c>
      <c r="Z4" s="52"/>
      <c r="AA4" s="53"/>
    </row>
    <row r="5" spans="1:27">
      <c r="A5" s="608">
        <v>2021</v>
      </c>
      <c r="B5" s="639" t="s">
        <v>368</v>
      </c>
      <c r="C5" s="640">
        <v>551309.739523</v>
      </c>
      <c r="D5" s="640">
        <v>82480.185767</v>
      </c>
      <c r="E5" s="640">
        <v>468829.553756</v>
      </c>
      <c r="F5" s="640">
        <v>2100699.74081</v>
      </c>
      <c r="G5" s="640">
        <v>1271602.040607</v>
      </c>
      <c r="H5" s="640">
        <v>188407.802917</v>
      </c>
      <c r="I5" s="640">
        <v>462900.954097</v>
      </c>
      <c r="J5" s="640">
        <v>177788.943189</v>
      </c>
      <c r="K5" s="643">
        <v>8357959.39074592</v>
      </c>
      <c r="L5" s="640">
        <v>509761.112547</v>
      </c>
      <c r="M5" s="640">
        <v>326045.523338</v>
      </c>
      <c r="N5" s="640">
        <v>2142110.438692</v>
      </c>
      <c r="O5" s="640">
        <v>422857.342933</v>
      </c>
      <c r="P5" s="640">
        <v>469707.614664</v>
      </c>
      <c r="Q5" s="640">
        <v>275668.212423</v>
      </c>
      <c r="R5" s="640">
        <v>4211809.14614892</v>
      </c>
      <c r="S5" s="643">
        <v>9687078.213619</v>
      </c>
      <c r="T5" s="640">
        <v>119639.410423</v>
      </c>
      <c r="U5" s="640">
        <v>1841064.347558</v>
      </c>
      <c r="V5" s="640">
        <v>5155749.220922</v>
      </c>
      <c r="W5" s="640">
        <v>2570625.234716</v>
      </c>
      <c r="X5" s="643">
        <v>146917.867764</v>
      </c>
      <c r="Y5" s="640">
        <v>20843964.9524619</v>
      </c>
      <c r="Z5" s="52"/>
      <c r="AA5" s="53"/>
    </row>
    <row r="6" spans="1:27">
      <c r="A6" s="608">
        <v>2022</v>
      </c>
      <c r="B6" s="639" t="s">
        <v>368</v>
      </c>
      <c r="C6" s="640">
        <v>738257.69265</v>
      </c>
      <c r="D6" s="640">
        <v>136034.545275</v>
      </c>
      <c r="E6" s="640">
        <v>602223.147375</v>
      </c>
      <c r="F6" s="640">
        <v>2494202.04384</v>
      </c>
      <c r="G6" s="640">
        <v>1422888.40647911</v>
      </c>
      <c r="H6" s="640">
        <v>180494.565169</v>
      </c>
      <c r="I6" s="640">
        <v>482054.400757</v>
      </c>
      <c r="J6" s="640">
        <v>408764.671434896</v>
      </c>
      <c r="K6" s="640">
        <v>10405558.0978429</v>
      </c>
      <c r="L6" s="640">
        <v>505732.567039</v>
      </c>
      <c r="M6" s="640">
        <v>574396.350020504</v>
      </c>
      <c r="N6" s="640">
        <v>2653529.20198578</v>
      </c>
      <c r="O6" s="640">
        <v>350117.459445021</v>
      </c>
      <c r="P6" s="640">
        <v>671005.396424486</v>
      </c>
      <c r="Q6" s="640">
        <v>242554.972186962</v>
      </c>
      <c r="R6" s="640">
        <v>5408222.15074113</v>
      </c>
      <c r="S6" s="640">
        <v>11811940.6323076</v>
      </c>
      <c r="T6" s="640">
        <v>142064.505875</v>
      </c>
      <c r="U6" s="640">
        <v>2028780.18557848</v>
      </c>
      <c r="V6" s="640">
        <v>5806935.967529</v>
      </c>
      <c r="W6" s="640">
        <v>3834159.97332517</v>
      </c>
      <c r="X6" s="640">
        <v>140588.942827</v>
      </c>
      <c r="Y6" s="640">
        <v>25590547.4094675</v>
      </c>
      <c r="Z6" s="52"/>
      <c r="AA6" s="53"/>
    </row>
    <row r="7" s="176" customFormat="1" spans="1:27">
      <c r="A7" s="608">
        <v>2023</v>
      </c>
      <c r="B7" s="639" t="s">
        <v>368</v>
      </c>
      <c r="C7" s="239">
        <v>896054.054417361</v>
      </c>
      <c r="D7" s="239">
        <v>168281.875432511</v>
      </c>
      <c r="E7" s="239">
        <v>727772.17898485</v>
      </c>
      <c r="F7" s="239">
        <v>3595172.80933828</v>
      </c>
      <c r="G7" s="239">
        <v>2227069.38478525</v>
      </c>
      <c r="H7" s="239">
        <v>312585.869438</v>
      </c>
      <c r="I7" s="239">
        <v>810122.594540027</v>
      </c>
      <c r="J7" s="239">
        <v>245394.960575</v>
      </c>
      <c r="K7" s="239">
        <v>12254080.1647153</v>
      </c>
      <c r="L7" s="239">
        <v>630720.852156</v>
      </c>
      <c r="M7" s="239">
        <v>688194.015974924</v>
      </c>
      <c r="N7" s="239">
        <v>1805522.83225901</v>
      </c>
      <c r="O7" s="239">
        <v>644520.963912997</v>
      </c>
      <c r="P7" s="239">
        <v>464994.126546194</v>
      </c>
      <c r="Q7" s="239">
        <v>321839.667742756</v>
      </c>
      <c r="R7" s="239">
        <v>7698287.70612344</v>
      </c>
      <c r="S7" s="239">
        <v>14018370.6254714</v>
      </c>
      <c r="T7" s="239">
        <v>218183.367575</v>
      </c>
      <c r="U7" s="239">
        <v>2887855.29419472</v>
      </c>
      <c r="V7" s="239">
        <v>6600070.986888</v>
      </c>
      <c r="W7" s="239">
        <v>4312260.97681368</v>
      </c>
      <c r="X7" s="239">
        <v>99387.882248</v>
      </c>
      <c r="Y7" s="653">
        <v>30863065.5361904</v>
      </c>
      <c r="Z7" s="52"/>
      <c r="AA7" s="53"/>
    </row>
    <row r="8" spans="1:27">
      <c r="A8" s="608">
        <v>2024</v>
      </c>
      <c r="B8" s="239" t="s">
        <v>368</v>
      </c>
      <c r="C8" s="640">
        <v>2155958.01656012</v>
      </c>
      <c r="D8" s="640">
        <v>600596.10982904</v>
      </c>
      <c r="E8" s="640">
        <v>1555361.90673108</v>
      </c>
      <c r="F8" s="640">
        <v>6269909.43014298</v>
      </c>
      <c r="G8" s="640">
        <v>4070421.6021727</v>
      </c>
      <c r="H8" s="640">
        <v>315383.393351</v>
      </c>
      <c r="I8" s="640">
        <v>1358901.28035128</v>
      </c>
      <c r="J8" s="640">
        <v>525203.154267998</v>
      </c>
      <c r="K8" s="640">
        <v>22800112.0449767</v>
      </c>
      <c r="L8" s="640">
        <v>1264301.69646</v>
      </c>
      <c r="M8" s="640">
        <v>1034026.12631985</v>
      </c>
      <c r="N8" s="640">
        <v>2309145.18151041</v>
      </c>
      <c r="O8" s="640">
        <v>944010.10617634</v>
      </c>
      <c r="P8" s="640">
        <v>1655879.47255884</v>
      </c>
      <c r="Q8" s="640">
        <v>1466661.86968132</v>
      </c>
      <c r="R8" s="640">
        <v>14126087.5922699</v>
      </c>
      <c r="S8" s="640">
        <v>29129594.761146</v>
      </c>
      <c r="T8" s="640">
        <v>458156.016769</v>
      </c>
      <c r="U8" s="640">
        <v>6178023.54509467</v>
      </c>
      <c r="V8" s="640">
        <v>14147322.311648</v>
      </c>
      <c r="W8" s="640">
        <v>8346092.88763436</v>
      </c>
      <c r="X8" s="640">
        <v>234974.589828</v>
      </c>
      <c r="Y8" s="640">
        <v>60590548.8426538</v>
      </c>
      <c r="Z8" s="89"/>
      <c r="AA8" s="53"/>
    </row>
    <row r="9" spans="1:27">
      <c r="A9" s="608">
        <v>2025</v>
      </c>
      <c r="B9" s="185" t="s">
        <v>374</v>
      </c>
      <c r="C9" s="641">
        <v>1001705.07115935</v>
      </c>
      <c r="D9" s="641">
        <v>200362.209836</v>
      </c>
      <c r="E9" s="641">
        <v>801342.86132335</v>
      </c>
      <c r="F9" s="641">
        <v>2292109.10394722</v>
      </c>
      <c r="G9" s="641">
        <v>1421573.51582492</v>
      </c>
      <c r="H9" s="641">
        <v>87022.052733</v>
      </c>
      <c r="I9" s="641">
        <v>562160.0989113</v>
      </c>
      <c r="J9" s="185">
        <v>221353.436478</v>
      </c>
      <c r="K9" s="641">
        <v>3260904.53328753</v>
      </c>
      <c r="L9" s="641">
        <v>277221.127496</v>
      </c>
      <c r="M9" s="641">
        <v>283889.18533041</v>
      </c>
      <c r="N9" s="641">
        <v>809827.07336195</v>
      </c>
      <c r="O9" s="641">
        <v>128369.005852</v>
      </c>
      <c r="P9" s="641">
        <v>204251.2570206</v>
      </c>
      <c r="Q9" s="641">
        <v>381208.82989611</v>
      </c>
      <c r="R9" s="185">
        <v>1176138.05433046</v>
      </c>
      <c r="S9" s="641">
        <v>8772842.74121652</v>
      </c>
      <c r="T9" s="641">
        <v>117228.634755</v>
      </c>
      <c r="U9" s="641">
        <v>1716328.18994915</v>
      </c>
      <c r="V9" s="641">
        <v>4657928.934345</v>
      </c>
      <c r="W9" s="185">
        <v>2281356.98216737</v>
      </c>
      <c r="X9" s="641">
        <v>98613.295433</v>
      </c>
      <c r="Y9" s="185">
        <v>15426174.7450436</v>
      </c>
      <c r="Z9" s="52"/>
      <c r="AA9" s="53"/>
    </row>
    <row r="10" spans="1:27">
      <c r="A10" s="608">
        <v>2020</v>
      </c>
      <c r="B10" s="341" t="s">
        <v>378</v>
      </c>
      <c r="C10" s="642">
        <v>105317.686259</v>
      </c>
      <c r="D10" s="640">
        <v>14131.896821</v>
      </c>
      <c r="E10" s="640">
        <v>91185.789438</v>
      </c>
      <c r="F10" s="642">
        <v>434436.560976</v>
      </c>
      <c r="G10" s="640">
        <v>270359.386198</v>
      </c>
      <c r="H10" s="640">
        <v>48806.154849</v>
      </c>
      <c r="I10" s="640">
        <v>92474.472151</v>
      </c>
      <c r="J10" s="640">
        <v>22796.827529</v>
      </c>
      <c r="K10" s="642">
        <v>1367993.334135</v>
      </c>
      <c r="L10" s="640">
        <v>101275.378458</v>
      </c>
      <c r="M10" s="640">
        <v>69764.802903</v>
      </c>
      <c r="N10" s="640">
        <v>265503.756229</v>
      </c>
      <c r="O10" s="640">
        <v>92059.833912</v>
      </c>
      <c r="P10" s="640">
        <v>93922.638276</v>
      </c>
      <c r="Q10" s="640">
        <v>57660.921363</v>
      </c>
      <c r="R10" s="640">
        <v>687806.002994</v>
      </c>
      <c r="S10" s="642">
        <v>1588922.094764</v>
      </c>
      <c r="T10" s="640">
        <v>37618.307981</v>
      </c>
      <c r="U10" s="640">
        <v>309093.496278</v>
      </c>
      <c r="V10" s="640">
        <v>879750.917498</v>
      </c>
      <c r="W10" s="640">
        <v>362459.373007</v>
      </c>
      <c r="X10" s="642">
        <v>9881.472118</v>
      </c>
      <c r="Y10" s="640">
        <v>3506551.148252</v>
      </c>
      <c r="Z10" s="52"/>
      <c r="AA10" s="53"/>
    </row>
    <row r="11" spans="1:27">
      <c r="A11" s="341"/>
      <c r="B11" s="341" t="s">
        <v>377</v>
      </c>
      <c r="C11" s="640">
        <v>91981.546128</v>
      </c>
      <c r="D11" s="640">
        <v>8507.863928</v>
      </c>
      <c r="E11" s="640">
        <v>83473.6822</v>
      </c>
      <c r="F11" s="640">
        <v>398640.747839</v>
      </c>
      <c r="G11" s="640">
        <v>246216.626214</v>
      </c>
      <c r="H11" s="640">
        <v>38010.761733</v>
      </c>
      <c r="I11" s="640">
        <v>68211.46129</v>
      </c>
      <c r="J11" s="640">
        <v>46201.898602</v>
      </c>
      <c r="K11" s="640">
        <v>1217289.532435</v>
      </c>
      <c r="L11" s="640">
        <v>103976.522777</v>
      </c>
      <c r="M11" s="640">
        <v>78659.379518</v>
      </c>
      <c r="N11" s="640">
        <v>314635.84605</v>
      </c>
      <c r="O11" s="640">
        <v>79018.9908</v>
      </c>
      <c r="P11" s="640">
        <v>70991.419694</v>
      </c>
      <c r="Q11" s="640">
        <v>52830.105491</v>
      </c>
      <c r="R11" s="640">
        <v>517177.268105</v>
      </c>
      <c r="S11" s="640">
        <v>1441474.391453</v>
      </c>
      <c r="T11" s="640">
        <v>28350.630788</v>
      </c>
      <c r="U11" s="640">
        <v>244570.491811</v>
      </c>
      <c r="V11" s="640">
        <v>846696.733765</v>
      </c>
      <c r="W11" s="640">
        <v>321856.535089</v>
      </c>
      <c r="X11" s="640">
        <v>35206.511151</v>
      </c>
      <c r="Y11" s="640">
        <v>3184592.729006</v>
      </c>
      <c r="Z11" s="52"/>
      <c r="AA11" s="53"/>
    </row>
    <row r="12" spans="1:27">
      <c r="A12" s="341"/>
      <c r="B12" s="341" t="s">
        <v>376</v>
      </c>
      <c r="C12" s="640">
        <v>103201.49416</v>
      </c>
      <c r="D12" s="640">
        <v>19797.554584</v>
      </c>
      <c r="E12" s="640">
        <v>83403.939576</v>
      </c>
      <c r="F12" s="640">
        <v>346561.168292</v>
      </c>
      <c r="G12" s="640">
        <v>244904.998878</v>
      </c>
      <c r="H12" s="640">
        <v>23459.464897</v>
      </c>
      <c r="I12" s="640">
        <v>54869.4055</v>
      </c>
      <c r="J12" s="640">
        <v>23327.299017</v>
      </c>
      <c r="K12" s="640">
        <v>718088.571884</v>
      </c>
      <c r="L12" s="640">
        <v>90855.217234</v>
      </c>
      <c r="M12" s="640">
        <v>49692.41933</v>
      </c>
      <c r="N12" s="640">
        <v>154964.362362</v>
      </c>
      <c r="O12" s="640">
        <v>43244.680211</v>
      </c>
      <c r="P12" s="640">
        <v>38081.464735</v>
      </c>
      <c r="Q12" s="640">
        <v>40799.067378</v>
      </c>
      <c r="R12" s="640">
        <v>300451.360634</v>
      </c>
      <c r="S12" s="640">
        <v>1238433.495952</v>
      </c>
      <c r="T12" s="640">
        <v>31754.909459</v>
      </c>
      <c r="U12" s="640">
        <v>211319.40748</v>
      </c>
      <c r="V12" s="640">
        <v>693359.638946</v>
      </c>
      <c r="W12" s="640">
        <v>301999.540067</v>
      </c>
      <c r="X12" s="640">
        <v>26947.346848</v>
      </c>
      <c r="Y12" s="640">
        <v>2433232.077136</v>
      </c>
      <c r="Z12" s="52"/>
      <c r="AA12" s="53"/>
    </row>
    <row r="13" spans="1:27">
      <c r="A13" s="341"/>
      <c r="B13" s="341" t="s">
        <v>375</v>
      </c>
      <c r="C13" s="640">
        <v>106381.928313</v>
      </c>
      <c r="D13" s="640">
        <v>32581.1555</v>
      </c>
      <c r="E13" s="640">
        <v>73800.772813</v>
      </c>
      <c r="F13" s="640">
        <v>391940.186685</v>
      </c>
      <c r="G13" s="640">
        <v>264664.814586</v>
      </c>
      <c r="H13" s="640">
        <v>25088.642412</v>
      </c>
      <c r="I13" s="640">
        <v>67752.136979</v>
      </c>
      <c r="J13" s="640">
        <v>34434.592708</v>
      </c>
      <c r="K13" s="640">
        <v>1356187.270683</v>
      </c>
      <c r="L13" s="640">
        <v>99193.461141</v>
      </c>
      <c r="M13" s="640">
        <v>84032.579961</v>
      </c>
      <c r="N13" s="640">
        <v>428014.043472</v>
      </c>
      <c r="O13" s="640">
        <v>57727.167131</v>
      </c>
      <c r="P13" s="640">
        <v>66953.206458</v>
      </c>
      <c r="Q13" s="640">
        <v>42830.840174</v>
      </c>
      <c r="R13" s="640">
        <v>577435.972346</v>
      </c>
      <c r="S13" s="640">
        <v>1699997.246979</v>
      </c>
      <c r="T13" s="640">
        <v>42870.614614</v>
      </c>
      <c r="U13" s="640">
        <v>339578.980025</v>
      </c>
      <c r="V13" s="640">
        <v>807193.080552</v>
      </c>
      <c r="W13" s="640">
        <v>510354.571788</v>
      </c>
      <c r="X13" s="640">
        <v>22061.220772</v>
      </c>
      <c r="Y13" s="640">
        <v>3576567.853432</v>
      </c>
      <c r="Z13" s="52"/>
      <c r="AA13" s="53"/>
    </row>
    <row r="14" spans="1:27">
      <c r="A14" s="608">
        <v>2021</v>
      </c>
      <c r="B14" s="638" t="s">
        <v>378</v>
      </c>
      <c r="C14" s="640">
        <v>161471.580969</v>
      </c>
      <c r="D14" s="640">
        <v>35761.833989</v>
      </c>
      <c r="E14" s="640">
        <v>125709.74698</v>
      </c>
      <c r="F14" s="640">
        <v>571700.657658</v>
      </c>
      <c r="G14" s="640">
        <v>340356.868271</v>
      </c>
      <c r="H14" s="640">
        <v>54269.703609</v>
      </c>
      <c r="I14" s="640">
        <v>131026.075197</v>
      </c>
      <c r="J14" s="640">
        <v>46048.010581</v>
      </c>
      <c r="K14" s="643">
        <v>2422413.627116</v>
      </c>
      <c r="L14" s="640">
        <v>135822.423763</v>
      </c>
      <c r="M14" s="640">
        <v>83208.470842</v>
      </c>
      <c r="N14" s="640">
        <v>416516.569672</v>
      </c>
      <c r="O14" s="640">
        <v>120625.878845</v>
      </c>
      <c r="P14" s="640">
        <v>137042.777032</v>
      </c>
      <c r="Q14" s="640">
        <v>68154.137364</v>
      </c>
      <c r="R14" s="640">
        <v>1461043.369598</v>
      </c>
      <c r="S14" s="643">
        <v>2743755.57114</v>
      </c>
      <c r="T14" s="640">
        <v>33903.557271</v>
      </c>
      <c r="U14" s="640">
        <v>430383.996527</v>
      </c>
      <c r="V14" s="640">
        <v>1652654.88849</v>
      </c>
      <c r="W14" s="640">
        <v>626813.128852</v>
      </c>
      <c r="X14" s="643">
        <v>41240.038605</v>
      </c>
      <c r="Y14" s="640">
        <v>5940581.475488</v>
      </c>
      <c r="Z14" s="52"/>
      <c r="AA14" s="53"/>
    </row>
    <row r="15" spans="1:27">
      <c r="A15" s="608"/>
      <c r="B15" s="341" t="s">
        <v>377</v>
      </c>
      <c r="C15" s="643">
        <v>138120.650715</v>
      </c>
      <c r="D15" s="640">
        <v>16588.117874</v>
      </c>
      <c r="E15" s="640">
        <v>121532.532841</v>
      </c>
      <c r="F15" s="643">
        <v>580443.408624</v>
      </c>
      <c r="G15" s="640">
        <v>344003.36312</v>
      </c>
      <c r="H15" s="640">
        <v>46137.505552</v>
      </c>
      <c r="I15" s="640">
        <v>148353.786567</v>
      </c>
      <c r="J15" s="640">
        <v>41948.753385</v>
      </c>
      <c r="K15" s="643">
        <v>2103082.026809</v>
      </c>
      <c r="L15" s="640">
        <v>146370.628922</v>
      </c>
      <c r="M15" s="640">
        <v>77377.741475</v>
      </c>
      <c r="N15" s="640">
        <v>553341.09696</v>
      </c>
      <c r="O15" s="640">
        <v>108828.805794</v>
      </c>
      <c r="P15" s="640">
        <v>127417.119556</v>
      </c>
      <c r="Q15" s="640">
        <v>61196.841267</v>
      </c>
      <c r="R15" s="640">
        <v>1028549.792835</v>
      </c>
      <c r="S15" s="643">
        <v>2472798.040625</v>
      </c>
      <c r="T15" s="640">
        <v>30778.110037</v>
      </c>
      <c r="U15" s="640">
        <v>468420.726594</v>
      </c>
      <c r="V15" s="640">
        <v>1275038.764637</v>
      </c>
      <c r="W15" s="640">
        <v>698560.439357</v>
      </c>
      <c r="X15" s="643">
        <v>41417.176732</v>
      </c>
      <c r="Y15" s="640">
        <v>5335861.303505</v>
      </c>
      <c r="Z15" s="52"/>
      <c r="AA15" s="53"/>
    </row>
    <row r="16" spans="1:27">
      <c r="A16" s="608"/>
      <c r="B16" s="341" t="s">
        <v>376</v>
      </c>
      <c r="C16" s="644">
        <v>156527.591523</v>
      </c>
      <c r="D16" s="640">
        <v>17671.92056</v>
      </c>
      <c r="E16" s="640">
        <v>138855.670963</v>
      </c>
      <c r="F16" s="644">
        <v>518713.938469</v>
      </c>
      <c r="G16" s="640">
        <v>295769.134709</v>
      </c>
      <c r="H16" s="640">
        <v>54843.736899</v>
      </c>
      <c r="I16" s="640">
        <v>107068.965318</v>
      </c>
      <c r="J16" s="640">
        <v>61032.101543</v>
      </c>
      <c r="K16" s="644">
        <v>1701002.535839</v>
      </c>
      <c r="L16" s="640">
        <v>128693.291854</v>
      </c>
      <c r="M16" s="640">
        <v>75141.34725</v>
      </c>
      <c r="N16" s="640">
        <v>484280.591334</v>
      </c>
      <c r="O16" s="640">
        <v>58215.848541</v>
      </c>
      <c r="P16" s="640">
        <v>99373.053483</v>
      </c>
      <c r="Q16" s="640">
        <v>52210.118639</v>
      </c>
      <c r="R16" s="640">
        <v>803088.284738</v>
      </c>
      <c r="S16" s="643">
        <v>2279586.870274</v>
      </c>
      <c r="T16" s="640">
        <v>34385.642927</v>
      </c>
      <c r="U16" s="640">
        <v>478981.393532</v>
      </c>
      <c r="V16" s="640">
        <v>1164889.58736</v>
      </c>
      <c r="W16" s="640">
        <v>601330.246455</v>
      </c>
      <c r="X16" s="644">
        <v>36503.388323</v>
      </c>
      <c r="Y16" s="640">
        <v>4692334.324428</v>
      </c>
      <c r="Z16" s="52"/>
      <c r="AA16" s="53"/>
    </row>
    <row r="17" spans="1:27">
      <c r="A17" s="608"/>
      <c r="B17" s="341" t="s">
        <v>375</v>
      </c>
      <c r="C17" s="643">
        <v>95189.916316</v>
      </c>
      <c r="D17" s="640">
        <v>12458.313344</v>
      </c>
      <c r="E17" s="640">
        <v>82731.602972</v>
      </c>
      <c r="F17" s="643">
        <v>429841.736059</v>
      </c>
      <c r="G17" s="640">
        <v>291472.674507</v>
      </c>
      <c r="H17" s="640">
        <v>33156.856857</v>
      </c>
      <c r="I17" s="640">
        <v>76452.127015</v>
      </c>
      <c r="J17" s="640">
        <v>28760.07768</v>
      </c>
      <c r="K17" s="643">
        <v>2131461.20098192</v>
      </c>
      <c r="L17" s="640">
        <v>98874.768008</v>
      </c>
      <c r="M17" s="640">
        <v>90317.963771</v>
      </c>
      <c r="N17" s="640">
        <v>687972.180726</v>
      </c>
      <c r="O17" s="640">
        <v>135186.809753</v>
      </c>
      <c r="P17" s="640">
        <v>105874.664593</v>
      </c>
      <c r="Q17" s="640">
        <v>94107.115153</v>
      </c>
      <c r="R17" s="640">
        <v>919127.69897792</v>
      </c>
      <c r="S17" s="644">
        <v>2190937.73158</v>
      </c>
      <c r="T17" s="640">
        <v>20572.100188</v>
      </c>
      <c r="U17" s="640">
        <v>463278.230905</v>
      </c>
      <c r="V17" s="640">
        <v>1063165.980435</v>
      </c>
      <c r="W17" s="640">
        <v>643921.420052</v>
      </c>
      <c r="X17" s="643">
        <v>27757.264104</v>
      </c>
      <c r="Y17" s="640">
        <v>4875187.84904092</v>
      </c>
      <c r="Z17" s="52"/>
      <c r="AA17" s="53"/>
    </row>
    <row r="18" spans="1:27">
      <c r="A18" s="608">
        <v>2022</v>
      </c>
      <c r="B18" s="638" t="s">
        <v>375</v>
      </c>
      <c r="C18" s="640">
        <v>152612.881956</v>
      </c>
      <c r="D18" s="640">
        <v>22371.372052</v>
      </c>
      <c r="E18" s="640">
        <v>130241.509904</v>
      </c>
      <c r="F18" s="640">
        <v>758080.689362931</v>
      </c>
      <c r="G18" s="640">
        <v>337331.573519035</v>
      </c>
      <c r="H18" s="640">
        <v>55841.339132</v>
      </c>
      <c r="I18" s="640">
        <v>122207.502607</v>
      </c>
      <c r="J18" s="640">
        <v>242700.274104896</v>
      </c>
      <c r="K18" s="640">
        <v>3281283.66011423</v>
      </c>
      <c r="L18" s="640">
        <v>112268.827683</v>
      </c>
      <c r="M18" s="640">
        <v>153729.938969999</v>
      </c>
      <c r="N18" s="640">
        <v>880420.053035295</v>
      </c>
      <c r="O18" s="640">
        <v>118358.083134021</v>
      </c>
      <c r="P18" s="640">
        <v>275717.971070204</v>
      </c>
      <c r="Q18" s="640">
        <v>90399.947605962</v>
      </c>
      <c r="R18" s="640">
        <v>1650388.83861575</v>
      </c>
      <c r="S18" s="640">
        <v>3270771.41664238</v>
      </c>
      <c r="T18" s="640">
        <v>36073.030407</v>
      </c>
      <c r="U18" s="640">
        <v>632448.538567432</v>
      </c>
      <c r="V18" s="640">
        <v>1507522.914443</v>
      </c>
      <c r="W18" s="640">
        <v>1094726.93322495</v>
      </c>
      <c r="X18" s="640">
        <v>32924.871476</v>
      </c>
      <c r="Y18" s="640">
        <v>7495673.51955154</v>
      </c>
      <c r="Z18" s="52"/>
      <c r="AA18" s="53"/>
    </row>
    <row r="19" spans="1:27">
      <c r="A19" s="608"/>
      <c r="B19" s="638" t="s">
        <v>376</v>
      </c>
      <c r="C19" s="640">
        <v>244864.58286</v>
      </c>
      <c r="D19" s="640">
        <v>32047.700562</v>
      </c>
      <c r="E19" s="640">
        <v>212816.882298</v>
      </c>
      <c r="F19" s="640">
        <v>628086.63961525</v>
      </c>
      <c r="G19" s="640">
        <v>400391.15438825</v>
      </c>
      <c r="H19" s="640">
        <v>33167.124473</v>
      </c>
      <c r="I19" s="640">
        <v>129040.318088</v>
      </c>
      <c r="J19" s="640">
        <v>65488.042666</v>
      </c>
      <c r="K19" s="640">
        <v>2718984.79158342</v>
      </c>
      <c r="L19" s="640">
        <v>126125.848066</v>
      </c>
      <c r="M19" s="640">
        <v>127764.089975326</v>
      </c>
      <c r="N19" s="640">
        <v>738212.700978605</v>
      </c>
      <c r="O19" s="640">
        <v>62503.26564</v>
      </c>
      <c r="P19" s="640">
        <v>85023.338770743</v>
      </c>
      <c r="Q19" s="640">
        <v>51619.854887</v>
      </c>
      <c r="R19" s="640">
        <v>1527735.69326574</v>
      </c>
      <c r="S19" s="640">
        <v>2765083.98465955</v>
      </c>
      <c r="T19" s="640">
        <v>38235.713675</v>
      </c>
      <c r="U19" s="640">
        <v>459197.530368</v>
      </c>
      <c r="V19" s="640">
        <v>1418514.318979</v>
      </c>
      <c r="W19" s="640">
        <v>849136.421637552</v>
      </c>
      <c r="X19" s="640">
        <v>31494.169114</v>
      </c>
      <c r="Y19" s="640">
        <v>6388514.16783222</v>
      </c>
      <c r="Z19" s="52"/>
      <c r="AA19" s="53"/>
    </row>
    <row r="20" spans="1:27">
      <c r="A20" s="608"/>
      <c r="B20" s="638" t="s">
        <v>377</v>
      </c>
      <c r="C20" s="640">
        <v>160644.126831</v>
      </c>
      <c r="D20" s="640">
        <v>26235.298062</v>
      </c>
      <c r="E20" s="640">
        <v>134408.828769</v>
      </c>
      <c r="F20" s="640">
        <v>598270.039879824</v>
      </c>
      <c r="G20" s="640">
        <v>365940.436023824</v>
      </c>
      <c r="H20" s="640">
        <v>53536.497545</v>
      </c>
      <c r="I20" s="640">
        <v>109455.219642</v>
      </c>
      <c r="J20" s="640">
        <v>69337.886669</v>
      </c>
      <c r="K20" s="640">
        <v>2394309.12166764</v>
      </c>
      <c r="L20" s="640">
        <v>153578.74852</v>
      </c>
      <c r="M20" s="640">
        <v>178999.595974179</v>
      </c>
      <c r="N20" s="640">
        <v>669565.191382882</v>
      </c>
      <c r="O20" s="640">
        <v>96421.25646</v>
      </c>
      <c r="P20" s="640">
        <v>134745.367397539</v>
      </c>
      <c r="Q20" s="640">
        <v>49587.308463</v>
      </c>
      <c r="R20" s="640">
        <v>1111411.65347004</v>
      </c>
      <c r="S20" s="640">
        <v>3145463.12198852</v>
      </c>
      <c r="T20" s="640">
        <v>32855.408169</v>
      </c>
      <c r="U20" s="640">
        <v>568188.093894046</v>
      </c>
      <c r="V20" s="640">
        <v>1526308.426341</v>
      </c>
      <c r="W20" s="640">
        <v>1018111.19358448</v>
      </c>
      <c r="X20" s="640">
        <v>44845.366189</v>
      </c>
      <c r="Y20" s="640">
        <v>6343531.77655599</v>
      </c>
      <c r="Z20" s="52"/>
      <c r="AA20" s="53"/>
    </row>
    <row r="21" spans="1:27">
      <c r="A21" s="608"/>
      <c r="B21" s="638" t="s">
        <v>378</v>
      </c>
      <c r="C21" s="640">
        <v>180136.101003</v>
      </c>
      <c r="D21" s="640">
        <v>55380.174599</v>
      </c>
      <c r="E21" s="640">
        <v>124755.926404</v>
      </c>
      <c r="F21" s="640">
        <v>509764.674982</v>
      </c>
      <c r="G21" s="640">
        <v>319225.242548</v>
      </c>
      <c r="H21" s="640">
        <v>37949.604019</v>
      </c>
      <c r="I21" s="640">
        <v>121351.36042</v>
      </c>
      <c r="J21" s="640">
        <v>31238.467995</v>
      </c>
      <c r="K21" s="640">
        <v>2010980.52447759</v>
      </c>
      <c r="L21" s="640">
        <v>113759.14277</v>
      </c>
      <c r="M21" s="640">
        <v>113902.725101</v>
      </c>
      <c r="N21" s="640">
        <v>365331.256589</v>
      </c>
      <c r="O21" s="640">
        <v>72834.854211</v>
      </c>
      <c r="P21" s="640">
        <v>175518.719186</v>
      </c>
      <c r="Q21" s="640">
        <v>50947.861231</v>
      </c>
      <c r="R21" s="640">
        <v>1118685.96538959</v>
      </c>
      <c r="S21" s="640">
        <v>2630622.10901719</v>
      </c>
      <c r="T21" s="640">
        <v>34900.353624</v>
      </c>
      <c r="U21" s="640">
        <v>368946.022749</v>
      </c>
      <c r="V21" s="640">
        <v>1354590.307766</v>
      </c>
      <c r="W21" s="640">
        <v>872185.424878192</v>
      </c>
      <c r="X21" s="640">
        <v>31324.536048</v>
      </c>
      <c r="Y21" s="640">
        <v>5362827.94552779</v>
      </c>
      <c r="Z21" s="52"/>
      <c r="AA21" s="53"/>
    </row>
    <row r="22" spans="1:27">
      <c r="A22" s="608">
        <v>2023</v>
      </c>
      <c r="B22" s="645" t="s">
        <v>375</v>
      </c>
      <c r="C22" s="640">
        <v>170599.7212384</v>
      </c>
      <c r="D22" s="640">
        <v>42296.2270014</v>
      </c>
      <c r="E22" s="640">
        <v>128303.494237</v>
      </c>
      <c r="F22" s="640">
        <v>532554.52307314</v>
      </c>
      <c r="G22" s="640">
        <v>283942.95730314</v>
      </c>
      <c r="H22" s="640">
        <v>72750.189373</v>
      </c>
      <c r="I22" s="640">
        <v>141086.565534</v>
      </c>
      <c r="J22" s="640">
        <v>34774.810863</v>
      </c>
      <c r="K22" s="640">
        <v>2951080.08944248</v>
      </c>
      <c r="L22" s="640">
        <v>98496.374572</v>
      </c>
      <c r="M22" s="640">
        <v>146877.50332741</v>
      </c>
      <c r="N22" s="640">
        <v>754437.180460539</v>
      </c>
      <c r="O22" s="640">
        <v>115231.659225997</v>
      </c>
      <c r="P22" s="640">
        <v>99868.05124496</v>
      </c>
      <c r="Q22" s="640">
        <v>112373.994786756</v>
      </c>
      <c r="R22" s="640">
        <v>1623795.32582482</v>
      </c>
      <c r="S22" s="640">
        <v>2781116.80223214</v>
      </c>
      <c r="T22" s="640">
        <v>41480.989422</v>
      </c>
      <c r="U22" s="640">
        <v>528024.957918668</v>
      </c>
      <c r="V22" s="640">
        <v>1296729.231435</v>
      </c>
      <c r="W22" s="640">
        <v>914881.62345647</v>
      </c>
      <c r="X22" s="640">
        <v>30751.248687</v>
      </c>
      <c r="Y22" s="640">
        <v>6466102.38467316</v>
      </c>
      <c r="Z22" s="52"/>
      <c r="AA22" s="53"/>
    </row>
    <row r="23" spans="1:27">
      <c r="A23" s="608"/>
      <c r="B23" s="645" t="s">
        <v>376</v>
      </c>
      <c r="C23" s="640">
        <v>238235.611506961</v>
      </c>
      <c r="D23" s="640">
        <v>52066.349894111</v>
      </c>
      <c r="E23" s="640">
        <v>186169.26161285</v>
      </c>
      <c r="F23" s="640">
        <v>1193691.497669</v>
      </c>
      <c r="G23" s="640">
        <v>921454.623339</v>
      </c>
      <c r="H23" s="640">
        <v>49726.799572</v>
      </c>
      <c r="I23" s="640">
        <v>145621.201127</v>
      </c>
      <c r="J23" s="640">
        <v>76888.873631</v>
      </c>
      <c r="K23" s="640">
        <v>2386930.70014804</v>
      </c>
      <c r="L23" s="640">
        <v>117196.803578</v>
      </c>
      <c r="M23" s="640">
        <v>190784.664811835</v>
      </c>
      <c r="N23" s="640">
        <v>423202.230934536</v>
      </c>
      <c r="O23" s="640">
        <v>74562.825832</v>
      </c>
      <c r="P23" s="640">
        <v>105431.440611234</v>
      </c>
      <c r="Q23" s="640">
        <v>58002.898616</v>
      </c>
      <c r="R23" s="640">
        <v>1417749.83576443</v>
      </c>
      <c r="S23" s="640">
        <v>2467086.56649586</v>
      </c>
      <c r="T23" s="640">
        <v>40352.336938</v>
      </c>
      <c r="U23" s="640">
        <v>417771.128398831</v>
      </c>
      <c r="V23" s="640">
        <v>1269411.85792</v>
      </c>
      <c r="W23" s="640">
        <v>739551.243239028</v>
      </c>
      <c r="X23" s="640">
        <v>16004.379888</v>
      </c>
      <c r="Y23" s="640">
        <v>6301948.75570786</v>
      </c>
      <c r="Z23" s="52"/>
      <c r="AA23" s="53"/>
    </row>
    <row r="24" spans="1:27">
      <c r="A24" s="608"/>
      <c r="B24" s="645" t="s">
        <v>377</v>
      </c>
      <c r="C24" s="640">
        <v>245385.169244</v>
      </c>
      <c r="D24" s="640">
        <v>41177.050614</v>
      </c>
      <c r="E24" s="640">
        <v>204208.11863</v>
      </c>
      <c r="F24" s="640">
        <v>913937.234546742</v>
      </c>
      <c r="G24" s="640">
        <v>508682.548712742</v>
      </c>
      <c r="H24" s="640">
        <v>93342.792848</v>
      </c>
      <c r="I24" s="640">
        <v>241152.1832</v>
      </c>
      <c r="J24" s="640">
        <v>70759.709786</v>
      </c>
      <c r="K24" s="640">
        <v>3482904.2135683</v>
      </c>
      <c r="L24" s="640">
        <v>233501.425582</v>
      </c>
      <c r="M24" s="640">
        <v>163543.972513075</v>
      </c>
      <c r="N24" s="640">
        <v>145450.832586559</v>
      </c>
      <c r="O24" s="640">
        <v>215056.57842</v>
      </c>
      <c r="P24" s="640">
        <v>152094.64803</v>
      </c>
      <c r="Q24" s="640">
        <v>81348.961499</v>
      </c>
      <c r="R24" s="640">
        <v>2491907.79493767</v>
      </c>
      <c r="S24" s="640">
        <v>4373437.93752597</v>
      </c>
      <c r="T24" s="640">
        <v>61893.920411</v>
      </c>
      <c r="U24" s="640">
        <v>1033466.76014811</v>
      </c>
      <c r="V24" s="640">
        <v>1973339.898739</v>
      </c>
      <c r="W24" s="640">
        <v>1304737.35822786</v>
      </c>
      <c r="X24" s="640">
        <v>25572.544522</v>
      </c>
      <c r="Y24" s="640">
        <v>9041237.09940702</v>
      </c>
      <c r="Z24" s="52"/>
      <c r="AA24" s="53"/>
    </row>
    <row r="25" spans="1:27">
      <c r="A25" s="646"/>
      <c r="B25" s="645" t="s">
        <v>378</v>
      </c>
      <c r="C25" s="640">
        <v>241833.552428</v>
      </c>
      <c r="D25" s="640">
        <v>32742.247923</v>
      </c>
      <c r="E25" s="640">
        <v>209091.304505</v>
      </c>
      <c r="F25" s="640">
        <v>954989.554049394</v>
      </c>
      <c r="G25" s="640">
        <v>512989.255430367</v>
      </c>
      <c r="H25" s="640">
        <v>96766.087645</v>
      </c>
      <c r="I25" s="640">
        <v>282262.644679027</v>
      </c>
      <c r="J25" s="640">
        <v>62971.566295</v>
      </c>
      <c r="K25" s="640">
        <v>3433165.16155651</v>
      </c>
      <c r="L25" s="640">
        <v>181526.248424</v>
      </c>
      <c r="M25" s="640">
        <v>186987.875322604</v>
      </c>
      <c r="N25" s="640">
        <v>482432.58827738</v>
      </c>
      <c r="O25" s="640">
        <v>239669.900435</v>
      </c>
      <c r="P25" s="640">
        <v>107599.98666</v>
      </c>
      <c r="Q25" s="640">
        <v>70113.812841</v>
      </c>
      <c r="R25" s="640">
        <v>2164834.74959652</v>
      </c>
      <c r="S25" s="640">
        <v>4396729.31921742</v>
      </c>
      <c r="T25" s="640">
        <v>74456.120804</v>
      </c>
      <c r="U25" s="640">
        <v>908592.447729103</v>
      </c>
      <c r="V25" s="640">
        <v>2060589.998794</v>
      </c>
      <c r="W25" s="640">
        <v>1353090.75189032</v>
      </c>
      <c r="X25" s="640">
        <v>27059.709151</v>
      </c>
      <c r="Y25" s="640">
        <v>9053777.29640232</v>
      </c>
      <c r="Z25" s="52"/>
      <c r="AA25" s="53"/>
    </row>
    <row r="26" spans="1:27">
      <c r="A26" s="609">
        <v>2024</v>
      </c>
      <c r="B26" s="239" t="s">
        <v>375</v>
      </c>
      <c r="C26" s="640">
        <v>401829.29519415</v>
      </c>
      <c r="D26" s="640">
        <v>113037.04164215</v>
      </c>
      <c r="E26" s="239">
        <v>288792.253552</v>
      </c>
      <c r="F26" s="640">
        <v>1554692.299428</v>
      </c>
      <c r="G26" s="640">
        <v>1009218.823501</v>
      </c>
      <c r="H26" s="640">
        <v>149773.527565</v>
      </c>
      <c r="I26" s="640">
        <v>295490.846399</v>
      </c>
      <c r="J26" s="239">
        <v>100209.101963</v>
      </c>
      <c r="K26" s="640">
        <v>6190144.1041403</v>
      </c>
      <c r="L26" s="640">
        <v>248726.713349</v>
      </c>
      <c r="M26" s="640">
        <v>183339.91538</v>
      </c>
      <c r="N26" s="640">
        <v>721734.7990167</v>
      </c>
      <c r="O26" s="640">
        <v>356275.4474791</v>
      </c>
      <c r="P26" s="640">
        <v>212240.26942679</v>
      </c>
      <c r="Q26" s="640">
        <v>378848.3027853</v>
      </c>
      <c r="R26" s="239">
        <v>4088978.65670341</v>
      </c>
      <c r="S26" s="640">
        <v>6543998.2927802</v>
      </c>
      <c r="T26" s="640">
        <v>108582.294441</v>
      </c>
      <c r="U26" s="640">
        <v>1385137.29613165</v>
      </c>
      <c r="V26" s="640">
        <v>2930096.121945</v>
      </c>
      <c r="W26" s="640">
        <v>2120182.58026255</v>
      </c>
      <c r="X26" s="640">
        <v>58860.157953</v>
      </c>
      <c r="Y26" s="640">
        <v>14749524.1494957</v>
      </c>
      <c r="Z26" s="89"/>
      <c r="AA26" s="53"/>
    </row>
    <row r="27" spans="1:27">
      <c r="A27" s="609"/>
      <c r="B27" s="239" t="s">
        <v>376</v>
      </c>
      <c r="C27" s="640">
        <v>726612.770901971</v>
      </c>
      <c r="D27" s="640">
        <v>337508.68536789</v>
      </c>
      <c r="E27" s="239">
        <v>389104.085534081</v>
      </c>
      <c r="F27" s="640">
        <v>1384942.17019599</v>
      </c>
      <c r="G27" s="640">
        <v>965502.302460985</v>
      </c>
      <c r="H27" s="640">
        <v>78067.061838</v>
      </c>
      <c r="I27" s="640">
        <v>227742.885615</v>
      </c>
      <c r="J27" s="239">
        <v>113629.920282</v>
      </c>
      <c r="K27" s="640">
        <v>5656361.26992129</v>
      </c>
      <c r="L27" s="640">
        <v>281786.925221</v>
      </c>
      <c r="M27" s="640">
        <v>133224.524504</v>
      </c>
      <c r="N27" s="640">
        <v>564013.01970095</v>
      </c>
      <c r="O27" s="640">
        <v>186646.812724</v>
      </c>
      <c r="P27" s="640">
        <v>350945.975051839</v>
      </c>
      <c r="Q27" s="640">
        <v>533823.890534494</v>
      </c>
      <c r="R27" s="239">
        <v>3605920.12218501</v>
      </c>
      <c r="S27" s="640">
        <v>6135280.53801752</v>
      </c>
      <c r="T27" s="640">
        <v>99751.061633</v>
      </c>
      <c r="U27" s="640">
        <v>1251507.17336909</v>
      </c>
      <c r="V27" s="640">
        <v>3030331.202294</v>
      </c>
      <c r="W27" s="640">
        <v>1753691.10072143</v>
      </c>
      <c r="X27" s="640">
        <v>66144.574724</v>
      </c>
      <c r="Y27" s="239">
        <v>13969341.3237608</v>
      </c>
      <c r="Z27" s="89"/>
      <c r="AA27" s="53"/>
    </row>
    <row r="28" spans="1:27">
      <c r="A28" s="646"/>
      <c r="B28" s="239" t="s">
        <v>377</v>
      </c>
      <c r="C28" s="640">
        <v>512557.710648</v>
      </c>
      <c r="D28" s="640">
        <v>72949.579216</v>
      </c>
      <c r="E28" s="239">
        <v>439608.131432</v>
      </c>
      <c r="F28" s="640">
        <v>1456509.00488837</v>
      </c>
      <c r="G28" s="640">
        <v>1040162.59662937</v>
      </c>
      <c r="H28" s="640">
        <v>44558.697113</v>
      </c>
      <c r="I28" s="640">
        <v>256651.744621</v>
      </c>
      <c r="J28" s="239">
        <v>115135.966525</v>
      </c>
      <c r="K28" s="640">
        <v>5657926.35224635</v>
      </c>
      <c r="L28" s="640">
        <v>391125.850621</v>
      </c>
      <c r="M28" s="640">
        <v>307695.511565084</v>
      </c>
      <c r="N28" s="640">
        <v>477866.681700174</v>
      </c>
      <c r="O28" s="640">
        <v>167578.185676</v>
      </c>
      <c r="P28" s="640">
        <v>491408.96000359</v>
      </c>
      <c r="Q28" s="640">
        <v>292862.807395377</v>
      </c>
      <c r="R28" s="239">
        <v>3529388.35528512</v>
      </c>
      <c r="S28" s="640">
        <v>7580271.51115888</v>
      </c>
      <c r="T28" s="640">
        <v>124884.643997</v>
      </c>
      <c r="U28" s="640">
        <v>1644995.06171063</v>
      </c>
      <c r="V28" s="640">
        <v>3574792.696939</v>
      </c>
      <c r="W28" s="640">
        <v>2235599.10851225</v>
      </c>
      <c r="X28" s="640">
        <v>73913.25794</v>
      </c>
      <c r="Y28" s="239">
        <v>15281177.8368816</v>
      </c>
      <c r="Z28" s="89"/>
      <c r="AA28" s="53"/>
    </row>
    <row r="29" spans="1:27">
      <c r="A29" s="646"/>
      <c r="B29" s="239" t="s">
        <v>378</v>
      </c>
      <c r="C29" s="640">
        <v>514958.239816</v>
      </c>
      <c r="D29" s="640">
        <v>77100.803603</v>
      </c>
      <c r="E29" s="239">
        <v>437857.436213</v>
      </c>
      <c r="F29" s="640">
        <v>1873765.95563063</v>
      </c>
      <c r="G29" s="640">
        <v>1055537.87958135</v>
      </c>
      <c r="H29" s="640">
        <v>42984.106835</v>
      </c>
      <c r="I29" s="640">
        <v>579015.80371628</v>
      </c>
      <c r="J29" s="239">
        <v>196228.165498</v>
      </c>
      <c r="K29" s="640">
        <v>5295680.31866873</v>
      </c>
      <c r="L29" s="640">
        <v>342662.207269</v>
      </c>
      <c r="M29" s="640">
        <v>409766.17487077</v>
      </c>
      <c r="N29" s="640">
        <v>545530.68109259</v>
      </c>
      <c r="O29" s="640">
        <v>233509.66029724</v>
      </c>
      <c r="P29" s="640">
        <v>601284.26807662</v>
      </c>
      <c r="Q29" s="640">
        <v>261126.86896615</v>
      </c>
      <c r="R29" s="239">
        <v>2901800.45809636</v>
      </c>
      <c r="S29" s="640">
        <v>8870044.41918943</v>
      </c>
      <c r="T29" s="640">
        <v>124938.016698</v>
      </c>
      <c r="U29" s="640">
        <v>1896384.0138833</v>
      </c>
      <c r="V29" s="640">
        <v>4612102.29047</v>
      </c>
      <c r="W29" s="640">
        <v>2236620.09813813</v>
      </c>
      <c r="X29" s="640">
        <v>36056.599211</v>
      </c>
      <c r="Y29" s="239">
        <v>16590505.5325158</v>
      </c>
      <c r="Z29" s="89"/>
      <c r="AA29" s="53"/>
    </row>
    <row r="30" spans="1:27">
      <c r="A30" s="609">
        <v>2025</v>
      </c>
      <c r="B30" s="185" t="s">
        <v>375</v>
      </c>
      <c r="C30" s="641">
        <v>1001705.07115935</v>
      </c>
      <c r="D30" s="641">
        <v>200362.209836</v>
      </c>
      <c r="E30" s="641">
        <v>801342.86132335</v>
      </c>
      <c r="F30" s="641">
        <v>2292109.10394722</v>
      </c>
      <c r="G30" s="641">
        <v>1421573.51582492</v>
      </c>
      <c r="H30" s="641">
        <v>87022.052733</v>
      </c>
      <c r="I30" s="641">
        <v>562160.0989113</v>
      </c>
      <c r="J30" s="185">
        <v>221353.436478</v>
      </c>
      <c r="K30" s="641">
        <v>3260904.53328753</v>
      </c>
      <c r="L30" s="641">
        <v>277221.127496</v>
      </c>
      <c r="M30" s="641">
        <v>283889.18533041</v>
      </c>
      <c r="N30" s="641">
        <v>809827.07336195</v>
      </c>
      <c r="O30" s="641">
        <v>128369.005852</v>
      </c>
      <c r="P30" s="641">
        <v>204251.2570206</v>
      </c>
      <c r="Q30" s="641">
        <v>381208.82989611</v>
      </c>
      <c r="R30" s="185">
        <v>1176138.05433046</v>
      </c>
      <c r="S30" s="641">
        <v>8772842.74121652</v>
      </c>
      <c r="T30" s="641">
        <v>117228.634755</v>
      </c>
      <c r="U30" s="641">
        <v>1716328.18994915</v>
      </c>
      <c r="V30" s="641">
        <v>4657928.934345</v>
      </c>
      <c r="W30" s="185">
        <v>2281356.98216737</v>
      </c>
      <c r="X30" s="641">
        <v>98613.295433</v>
      </c>
      <c r="Y30" s="185">
        <v>15426174.7450436</v>
      </c>
      <c r="Z30" s="89"/>
      <c r="AA30" s="53"/>
    </row>
    <row r="31" spans="1:27">
      <c r="A31" s="608">
        <v>2020</v>
      </c>
      <c r="B31" s="341" t="s">
        <v>379</v>
      </c>
      <c r="C31" s="640">
        <v>35681.094093</v>
      </c>
      <c r="D31" s="640">
        <v>11261.676334</v>
      </c>
      <c r="E31" s="640">
        <v>24419.417759</v>
      </c>
      <c r="F31" s="640">
        <v>148577.564784</v>
      </c>
      <c r="G31" s="640">
        <v>94191.335651</v>
      </c>
      <c r="H31" s="640">
        <v>9722.318684</v>
      </c>
      <c r="I31" s="640">
        <v>27525.1716</v>
      </c>
      <c r="J31" s="640">
        <v>17138.738849</v>
      </c>
      <c r="K31" s="640">
        <v>498904.236234</v>
      </c>
      <c r="L31" s="640">
        <v>33144.4023</v>
      </c>
      <c r="M31" s="640">
        <v>23449.852154</v>
      </c>
      <c r="N31" s="640">
        <v>168627.330601</v>
      </c>
      <c r="O31" s="640">
        <v>18408.02637</v>
      </c>
      <c r="P31" s="640">
        <v>19902.259457</v>
      </c>
      <c r="Q31" s="640">
        <v>11077.897344</v>
      </c>
      <c r="R31" s="239">
        <v>224294.468008</v>
      </c>
      <c r="S31" s="640">
        <v>551168.074968</v>
      </c>
      <c r="T31" s="640">
        <v>18947.559557</v>
      </c>
      <c r="U31" s="640">
        <v>101178.724464</v>
      </c>
      <c r="V31" s="640">
        <v>296389.423758</v>
      </c>
      <c r="W31" s="239">
        <v>134652.367189</v>
      </c>
      <c r="X31" s="640">
        <v>8986.922774</v>
      </c>
      <c r="Y31" s="239">
        <v>1243317.892853</v>
      </c>
      <c r="Z31" s="52"/>
      <c r="AA31" s="53"/>
    </row>
    <row r="32" spans="1:27">
      <c r="A32" s="646"/>
      <c r="B32" s="341" t="s">
        <v>380</v>
      </c>
      <c r="C32" s="640">
        <v>37859.467315</v>
      </c>
      <c r="D32" s="640">
        <v>14393.079346</v>
      </c>
      <c r="E32" s="640">
        <v>23466.387969</v>
      </c>
      <c r="F32" s="640">
        <v>135280.050191</v>
      </c>
      <c r="G32" s="640">
        <v>94882.92123</v>
      </c>
      <c r="H32" s="640">
        <v>11347.59524</v>
      </c>
      <c r="I32" s="640">
        <v>17604.689871</v>
      </c>
      <c r="J32" s="640">
        <v>11444.84385</v>
      </c>
      <c r="K32" s="640">
        <v>420348.718689</v>
      </c>
      <c r="L32" s="640">
        <v>26804.1251</v>
      </c>
      <c r="M32" s="640">
        <v>25453.499166</v>
      </c>
      <c r="N32" s="640">
        <v>143925.403472</v>
      </c>
      <c r="O32" s="640">
        <v>29187.942569</v>
      </c>
      <c r="P32" s="640">
        <v>22499.439151</v>
      </c>
      <c r="Q32" s="640">
        <v>7932.93415</v>
      </c>
      <c r="R32" s="239">
        <v>164545.375081</v>
      </c>
      <c r="S32" s="640">
        <v>503235.086858</v>
      </c>
      <c r="T32" s="640">
        <v>16046.241813</v>
      </c>
      <c r="U32" s="640">
        <v>94996.676029</v>
      </c>
      <c r="V32" s="640">
        <v>224982.28478</v>
      </c>
      <c r="W32" s="239">
        <v>167209.884236</v>
      </c>
      <c r="X32" s="640">
        <v>7623.980272</v>
      </c>
      <c r="Y32" s="239">
        <v>1104347.303325</v>
      </c>
      <c r="Z32" s="52"/>
      <c r="AA32" s="53"/>
    </row>
    <row r="33" spans="1:27">
      <c r="A33" s="341"/>
      <c r="B33" s="341" t="s">
        <v>391</v>
      </c>
      <c r="C33" s="640">
        <v>32841.366905</v>
      </c>
      <c r="D33" s="640">
        <v>6926.39982</v>
      </c>
      <c r="E33" s="640">
        <v>25914.967085</v>
      </c>
      <c r="F33" s="640">
        <v>108082.57171</v>
      </c>
      <c r="G33" s="640">
        <v>75590.557705</v>
      </c>
      <c r="H33" s="640">
        <v>4018.728488</v>
      </c>
      <c r="I33" s="640">
        <v>22622.275508</v>
      </c>
      <c r="J33" s="640">
        <v>5851.01000900001</v>
      </c>
      <c r="K33" s="640">
        <v>436934.31576</v>
      </c>
      <c r="L33" s="640">
        <v>39244.933741</v>
      </c>
      <c r="M33" s="640">
        <v>35129.228641</v>
      </c>
      <c r="N33" s="640">
        <v>115461.309399</v>
      </c>
      <c r="O33" s="640">
        <v>10131.198192</v>
      </c>
      <c r="P33" s="640">
        <v>24551.50785</v>
      </c>
      <c r="Q33" s="640">
        <v>23820.00868</v>
      </c>
      <c r="R33" s="239">
        <v>188596.129257</v>
      </c>
      <c r="S33" s="640">
        <v>645594.085153</v>
      </c>
      <c r="T33" s="640">
        <v>7876.813244</v>
      </c>
      <c r="U33" s="640">
        <v>143403.579532</v>
      </c>
      <c r="V33" s="640">
        <v>285821.372014</v>
      </c>
      <c r="W33" s="239">
        <v>208492.320363</v>
      </c>
      <c r="X33" s="640">
        <v>5450.317726</v>
      </c>
      <c r="Y33" s="239">
        <v>1228902.657254</v>
      </c>
      <c r="Z33" s="52"/>
      <c r="AA33" s="53"/>
    </row>
    <row r="34" spans="1:27">
      <c r="A34" s="647"/>
      <c r="B34" s="341" t="s">
        <v>382</v>
      </c>
      <c r="C34" s="640">
        <v>27069.484876</v>
      </c>
      <c r="D34" s="640">
        <v>7454.116739</v>
      </c>
      <c r="E34" s="640">
        <v>19615.368137</v>
      </c>
      <c r="F34" s="640">
        <v>106872.522782</v>
      </c>
      <c r="G34" s="640">
        <v>78477.332608</v>
      </c>
      <c r="H34" s="640">
        <v>8069.976322</v>
      </c>
      <c r="I34" s="640">
        <v>15155.746617</v>
      </c>
      <c r="J34" s="640">
        <v>5169.467235</v>
      </c>
      <c r="K34" s="640">
        <v>193526.448914</v>
      </c>
      <c r="L34" s="640">
        <v>31129.829824</v>
      </c>
      <c r="M34" s="640">
        <v>15803.127864</v>
      </c>
      <c r="N34" s="640">
        <v>37478.980971</v>
      </c>
      <c r="O34" s="640">
        <v>8612.879215</v>
      </c>
      <c r="P34" s="640">
        <v>8316.882219</v>
      </c>
      <c r="Q34" s="640">
        <v>10278.541214</v>
      </c>
      <c r="R34" s="239">
        <v>81906.207607</v>
      </c>
      <c r="S34" s="640">
        <v>399969.352147</v>
      </c>
      <c r="T34" s="640">
        <v>11425.850891</v>
      </c>
      <c r="U34" s="640">
        <v>71855.814533</v>
      </c>
      <c r="V34" s="640">
        <v>210159.730655</v>
      </c>
      <c r="W34" s="239">
        <v>106527.956068</v>
      </c>
      <c r="X34" s="640">
        <v>7733.128044</v>
      </c>
      <c r="Y34" s="239">
        <v>735170.936763</v>
      </c>
      <c r="Z34" s="52"/>
      <c r="AA34" s="53"/>
    </row>
    <row r="35" spans="1:27">
      <c r="A35" s="647"/>
      <c r="B35" s="341" t="s">
        <v>383</v>
      </c>
      <c r="C35" s="640">
        <v>41298.796561</v>
      </c>
      <c r="D35" s="640">
        <v>3449.072033</v>
      </c>
      <c r="E35" s="640">
        <v>37849.724528</v>
      </c>
      <c r="F35" s="640">
        <v>96372.548918</v>
      </c>
      <c r="G35" s="640">
        <v>70050.55904</v>
      </c>
      <c r="H35" s="640">
        <v>4288.20092</v>
      </c>
      <c r="I35" s="640">
        <v>11723.348625</v>
      </c>
      <c r="J35" s="640">
        <v>10310.440333</v>
      </c>
      <c r="K35" s="640">
        <v>221299.157138</v>
      </c>
      <c r="L35" s="640">
        <v>30051.359637</v>
      </c>
      <c r="M35" s="640">
        <v>17163.110916</v>
      </c>
      <c r="N35" s="640">
        <v>42344.325442</v>
      </c>
      <c r="O35" s="640">
        <v>11247.866976</v>
      </c>
      <c r="P35" s="640">
        <v>11022.666934</v>
      </c>
      <c r="Q35" s="640">
        <v>6497.202679</v>
      </c>
      <c r="R35" s="239">
        <v>102972.624554</v>
      </c>
      <c r="S35" s="640">
        <v>381239.355219</v>
      </c>
      <c r="T35" s="640">
        <v>8888.726246</v>
      </c>
      <c r="U35" s="640">
        <v>67034.421815</v>
      </c>
      <c r="V35" s="640">
        <v>206196.638508</v>
      </c>
      <c r="W35" s="239">
        <v>99119.56865</v>
      </c>
      <c r="X35" s="640">
        <v>8995.941654</v>
      </c>
      <c r="Y35" s="239">
        <v>749205.79949</v>
      </c>
      <c r="Z35" s="52"/>
      <c r="AA35" s="53"/>
    </row>
    <row r="36" spans="1:27">
      <c r="A36" s="647"/>
      <c r="B36" s="341" t="s">
        <v>384</v>
      </c>
      <c r="C36" s="640">
        <v>34833.212723</v>
      </c>
      <c r="D36" s="640">
        <v>8894.365812</v>
      </c>
      <c r="E36" s="640">
        <v>25938.846911</v>
      </c>
      <c r="F36" s="640">
        <v>143316.096592</v>
      </c>
      <c r="G36" s="640">
        <v>96377.10723</v>
      </c>
      <c r="H36" s="640">
        <v>11101.287655</v>
      </c>
      <c r="I36" s="640">
        <v>27990.310258</v>
      </c>
      <c r="J36" s="640">
        <v>7847.39144899999</v>
      </c>
      <c r="K36" s="640">
        <v>303262.965832</v>
      </c>
      <c r="L36" s="640">
        <v>29674.027773</v>
      </c>
      <c r="M36" s="640">
        <v>16726.18055</v>
      </c>
      <c r="N36" s="640">
        <v>75141.055949</v>
      </c>
      <c r="O36" s="640">
        <v>23383.93402</v>
      </c>
      <c r="P36" s="640">
        <v>18741.915582</v>
      </c>
      <c r="Q36" s="640">
        <v>24023.323485</v>
      </c>
      <c r="R36" s="239">
        <v>115572.528473</v>
      </c>
      <c r="S36" s="640">
        <v>457224.788586</v>
      </c>
      <c r="T36" s="640">
        <v>11440.332322</v>
      </c>
      <c r="U36" s="640">
        <v>72429.171132</v>
      </c>
      <c r="V36" s="640">
        <v>277003.269783</v>
      </c>
      <c r="W36" s="239">
        <v>96352.015349</v>
      </c>
      <c r="X36" s="640">
        <v>10218.27715</v>
      </c>
      <c r="Y36" s="239">
        <v>948855.340883</v>
      </c>
      <c r="Z36" s="52"/>
      <c r="AA36" s="53"/>
    </row>
    <row r="37" spans="1:27">
      <c r="A37" s="647"/>
      <c r="B37" s="341" t="s">
        <v>385</v>
      </c>
      <c r="C37" s="640">
        <v>28184.962777</v>
      </c>
      <c r="D37" s="640">
        <v>2055.174028</v>
      </c>
      <c r="E37" s="640">
        <v>26129.788749</v>
      </c>
      <c r="F37" s="640">
        <v>126285.530253</v>
      </c>
      <c r="G37" s="640">
        <v>79652.152032</v>
      </c>
      <c r="H37" s="640">
        <v>15346.42076</v>
      </c>
      <c r="I37" s="640">
        <v>19487.629922</v>
      </c>
      <c r="J37" s="640">
        <v>11799.327539</v>
      </c>
      <c r="K37" s="640">
        <v>396344.248357</v>
      </c>
      <c r="L37" s="640">
        <v>33673.895676</v>
      </c>
      <c r="M37" s="640">
        <v>17365.673376</v>
      </c>
      <c r="N37" s="640">
        <v>111225.052319</v>
      </c>
      <c r="O37" s="640">
        <v>29274.330012</v>
      </c>
      <c r="P37" s="640">
        <v>20009.704076</v>
      </c>
      <c r="Q37" s="640">
        <v>23600.083801</v>
      </c>
      <c r="R37" s="239">
        <v>161195.509097</v>
      </c>
      <c r="S37" s="640">
        <v>444387.730821</v>
      </c>
      <c r="T37" s="640">
        <v>8019.369759</v>
      </c>
      <c r="U37" s="640">
        <v>57917.443438</v>
      </c>
      <c r="V37" s="640">
        <v>269324.584861</v>
      </c>
      <c r="W37" s="239">
        <v>109126.332763</v>
      </c>
      <c r="X37" s="640">
        <v>15679.769527</v>
      </c>
      <c r="Y37" s="239">
        <v>1010882.241735</v>
      </c>
      <c r="Z37" s="52"/>
      <c r="AA37" s="53"/>
    </row>
    <row r="38" spans="1:27">
      <c r="A38" s="647"/>
      <c r="B38" s="341" t="s">
        <v>386</v>
      </c>
      <c r="C38" s="640">
        <v>35499.183864</v>
      </c>
      <c r="D38" s="640">
        <v>3184.771294</v>
      </c>
      <c r="E38" s="640">
        <v>32314.41257</v>
      </c>
      <c r="F38" s="640">
        <v>146637.946229</v>
      </c>
      <c r="G38" s="640">
        <v>87100.088673</v>
      </c>
      <c r="H38" s="640">
        <v>14009.44314</v>
      </c>
      <c r="I38" s="640">
        <v>20245.707804</v>
      </c>
      <c r="J38" s="640">
        <v>25282.706612</v>
      </c>
      <c r="K38" s="640">
        <v>438532.86477</v>
      </c>
      <c r="L38" s="640">
        <v>34114.984489</v>
      </c>
      <c r="M38" s="640">
        <v>30178.395075</v>
      </c>
      <c r="N38" s="640">
        <v>132094.638291</v>
      </c>
      <c r="O38" s="640">
        <v>24481.840602</v>
      </c>
      <c r="P38" s="640">
        <v>16492.933241</v>
      </c>
      <c r="Q38" s="640">
        <v>18669.759875</v>
      </c>
      <c r="R38" s="239">
        <v>182500.313197</v>
      </c>
      <c r="S38" s="640">
        <v>492595.108416</v>
      </c>
      <c r="T38" s="640">
        <v>9558.874854</v>
      </c>
      <c r="U38" s="640">
        <v>78113.004077</v>
      </c>
      <c r="V38" s="640">
        <v>294066.447509</v>
      </c>
      <c r="W38" s="239">
        <v>110856.781976</v>
      </c>
      <c r="X38" s="640">
        <v>13029.531055</v>
      </c>
      <c r="Y38" s="239">
        <v>1126294.634334</v>
      </c>
      <c r="Z38" s="52"/>
      <c r="AA38" s="53"/>
    </row>
    <row r="39" spans="1:27">
      <c r="A39" s="647"/>
      <c r="B39" s="341" t="s">
        <v>387</v>
      </c>
      <c r="C39" s="640">
        <v>28297.399487</v>
      </c>
      <c r="D39" s="640">
        <v>3267.918606</v>
      </c>
      <c r="E39" s="640">
        <v>25029.480881</v>
      </c>
      <c r="F39" s="640">
        <v>125717.271357</v>
      </c>
      <c r="G39" s="640">
        <v>79464.385509</v>
      </c>
      <c r="H39" s="640">
        <v>8654.897833</v>
      </c>
      <c r="I39" s="640">
        <v>28478.123564</v>
      </c>
      <c r="J39" s="640">
        <v>9119.86445100002</v>
      </c>
      <c r="K39" s="640">
        <v>382412.419308</v>
      </c>
      <c r="L39" s="640">
        <v>36187.642612</v>
      </c>
      <c r="M39" s="640">
        <v>31115.311067</v>
      </c>
      <c r="N39" s="640">
        <v>71316.15544</v>
      </c>
      <c r="O39" s="640">
        <v>25262.820186</v>
      </c>
      <c r="P39" s="640">
        <v>34488.782377</v>
      </c>
      <c r="Q39" s="640">
        <v>10560.261815</v>
      </c>
      <c r="R39" s="239">
        <v>173481.445811</v>
      </c>
      <c r="S39" s="640">
        <v>504491.552216</v>
      </c>
      <c r="T39" s="640">
        <v>10772.386175</v>
      </c>
      <c r="U39" s="640">
        <v>108540.044296</v>
      </c>
      <c r="V39" s="640">
        <v>283305.701395</v>
      </c>
      <c r="W39" s="239">
        <v>101873.42035</v>
      </c>
      <c r="X39" s="640">
        <v>6497.210569</v>
      </c>
      <c r="Y39" s="239">
        <v>1047415.852937</v>
      </c>
      <c r="Z39" s="52"/>
      <c r="AA39" s="53"/>
    </row>
    <row r="40" spans="1:27">
      <c r="A40" s="648"/>
      <c r="B40" s="341" t="s">
        <v>388</v>
      </c>
      <c r="C40" s="649">
        <v>30273.694135</v>
      </c>
      <c r="D40" s="640">
        <v>5168.55513</v>
      </c>
      <c r="E40" s="640">
        <v>25105.139005</v>
      </c>
      <c r="F40" s="649">
        <v>135935.80529</v>
      </c>
      <c r="G40" s="640">
        <v>81725.050785</v>
      </c>
      <c r="H40" s="640">
        <v>18248.560742</v>
      </c>
      <c r="I40" s="640">
        <v>31065.267459</v>
      </c>
      <c r="J40" s="640">
        <v>4896.92630399999</v>
      </c>
      <c r="K40" s="649">
        <v>489541.120531</v>
      </c>
      <c r="L40" s="640">
        <v>20268.153695</v>
      </c>
      <c r="M40" s="640">
        <v>29903.263083</v>
      </c>
      <c r="N40" s="640">
        <v>139073.961002</v>
      </c>
      <c r="O40" s="640">
        <v>30878.370537</v>
      </c>
      <c r="P40" s="640">
        <v>30908.67882</v>
      </c>
      <c r="Q40" s="640">
        <v>25523.53495</v>
      </c>
      <c r="R40" s="239">
        <v>212985.158444</v>
      </c>
      <c r="S40" s="649">
        <v>525020.853092</v>
      </c>
      <c r="T40" s="640">
        <v>7311.544711</v>
      </c>
      <c r="U40" s="640">
        <v>116680.78256</v>
      </c>
      <c r="V40" s="640">
        <v>254886.440853</v>
      </c>
      <c r="W40" s="239">
        <v>146142.084968</v>
      </c>
      <c r="X40" s="649">
        <v>4369.475805</v>
      </c>
      <c r="Y40" s="239">
        <v>1185140.948853</v>
      </c>
      <c r="Z40" s="52"/>
      <c r="AA40" s="53"/>
    </row>
    <row r="41" spans="1:27">
      <c r="A41" s="648"/>
      <c r="B41" s="341" t="s">
        <v>389</v>
      </c>
      <c r="C41" s="649">
        <v>33330.223224</v>
      </c>
      <c r="D41" s="640">
        <v>5064.059433</v>
      </c>
      <c r="E41" s="640">
        <v>28266.163791</v>
      </c>
      <c r="F41" s="649">
        <v>135945.521314</v>
      </c>
      <c r="G41" s="640">
        <v>77994.494686</v>
      </c>
      <c r="H41" s="640">
        <v>22436.900299</v>
      </c>
      <c r="I41" s="640">
        <v>26226.986232</v>
      </c>
      <c r="J41" s="640">
        <v>9287.14009700001</v>
      </c>
      <c r="K41" s="649">
        <v>564156.418619</v>
      </c>
      <c r="L41" s="640">
        <v>49944.743702</v>
      </c>
      <c r="M41" s="640">
        <v>18013.042129</v>
      </c>
      <c r="N41" s="640">
        <v>90055.043865</v>
      </c>
      <c r="O41" s="640">
        <v>30131.501457</v>
      </c>
      <c r="P41" s="640">
        <v>33037.270216</v>
      </c>
      <c r="Q41" s="640">
        <v>21678.699345</v>
      </c>
      <c r="R41" s="239">
        <v>321296.117905</v>
      </c>
      <c r="S41" s="649">
        <v>604750.456765</v>
      </c>
      <c r="T41" s="640">
        <v>23476.095198</v>
      </c>
      <c r="U41" s="640">
        <v>98073.791463</v>
      </c>
      <c r="V41" s="640">
        <v>352267.284434</v>
      </c>
      <c r="W41" s="239">
        <v>130933.28567</v>
      </c>
      <c r="X41" s="649">
        <v>1637.087612</v>
      </c>
      <c r="Y41" s="239">
        <v>1339819.707534</v>
      </c>
      <c r="Z41" s="52"/>
      <c r="AA41" s="53"/>
    </row>
    <row r="42" spans="1:27">
      <c r="A42" s="608"/>
      <c r="B42" s="341" t="s">
        <v>390</v>
      </c>
      <c r="C42" s="649">
        <v>41713.7689</v>
      </c>
      <c r="D42" s="640">
        <v>3899.282258</v>
      </c>
      <c r="E42" s="640">
        <v>37814.486642</v>
      </c>
      <c r="F42" s="649">
        <v>162555.234372</v>
      </c>
      <c r="G42" s="640">
        <v>110639.840727</v>
      </c>
      <c r="H42" s="640">
        <v>8120.693808</v>
      </c>
      <c r="I42" s="640">
        <v>35182.21846</v>
      </c>
      <c r="J42" s="640">
        <v>8612.48137700002</v>
      </c>
      <c r="K42" s="649">
        <v>314295.794985</v>
      </c>
      <c r="L42" s="640">
        <v>31062.481061</v>
      </c>
      <c r="M42" s="640">
        <v>21848.497691</v>
      </c>
      <c r="N42" s="640">
        <v>36374.751362</v>
      </c>
      <c r="O42" s="640">
        <v>31049.961918</v>
      </c>
      <c r="P42" s="640">
        <v>29976.68924</v>
      </c>
      <c r="Q42" s="640">
        <v>10458.687068</v>
      </c>
      <c r="R42" s="239">
        <v>153524.726645</v>
      </c>
      <c r="S42" s="649">
        <v>459150.784907</v>
      </c>
      <c r="T42" s="640">
        <v>6830.668072</v>
      </c>
      <c r="U42" s="640">
        <v>94338.922255</v>
      </c>
      <c r="V42" s="640">
        <v>272597.192211</v>
      </c>
      <c r="W42" s="239">
        <v>85384.002369</v>
      </c>
      <c r="X42" s="649">
        <v>3874.908701</v>
      </c>
      <c r="Y42" s="239">
        <v>981590.491865</v>
      </c>
      <c r="Z42" s="52"/>
      <c r="AA42" s="53"/>
    </row>
    <row r="43" spans="1:27">
      <c r="A43" s="608">
        <v>2021</v>
      </c>
      <c r="B43" s="341" t="s">
        <v>379</v>
      </c>
      <c r="C43" s="640">
        <v>30765.595467</v>
      </c>
      <c r="D43" s="640">
        <v>2826.622735</v>
      </c>
      <c r="E43" s="640">
        <v>27938.972732</v>
      </c>
      <c r="F43" s="640">
        <v>123013.227315</v>
      </c>
      <c r="G43" s="640">
        <v>77557.967748</v>
      </c>
      <c r="H43" s="640">
        <v>15194.366406</v>
      </c>
      <c r="I43" s="640">
        <v>17172.079908</v>
      </c>
      <c r="J43" s="640">
        <v>13088.813253</v>
      </c>
      <c r="K43" s="640">
        <v>574765.64902</v>
      </c>
      <c r="L43" s="640">
        <v>32791.855344</v>
      </c>
      <c r="M43" s="640">
        <v>29440.404046</v>
      </c>
      <c r="N43" s="640">
        <v>108690.077507</v>
      </c>
      <c r="O43" s="640">
        <v>51543.346883</v>
      </c>
      <c r="P43" s="640">
        <v>49185.727739</v>
      </c>
      <c r="Q43" s="640">
        <v>22601.308716</v>
      </c>
      <c r="R43" s="239">
        <v>280512.928785</v>
      </c>
      <c r="S43" s="640">
        <v>579139.630411</v>
      </c>
      <c r="T43" s="640">
        <v>6638.607698</v>
      </c>
      <c r="U43" s="640">
        <v>117921.956464</v>
      </c>
      <c r="V43" s="640">
        <v>340420.943663</v>
      </c>
      <c r="W43" s="239">
        <v>114158.122586</v>
      </c>
      <c r="X43" s="640">
        <v>7532.570442</v>
      </c>
      <c r="Y43" s="239">
        <v>1315216.672655</v>
      </c>
      <c r="Z43" s="52"/>
      <c r="AA43" s="53"/>
    </row>
    <row r="44" spans="1:27">
      <c r="A44" s="647"/>
      <c r="B44" s="341" t="s">
        <v>380</v>
      </c>
      <c r="C44" s="640">
        <v>29600.306653</v>
      </c>
      <c r="D44" s="640">
        <v>5271.432208</v>
      </c>
      <c r="E44" s="640">
        <v>24328.874445</v>
      </c>
      <c r="F44" s="640">
        <v>124891.22474</v>
      </c>
      <c r="G44" s="640">
        <v>87788.464188</v>
      </c>
      <c r="H44" s="640">
        <v>13062.048585</v>
      </c>
      <c r="I44" s="640">
        <v>20822.578691</v>
      </c>
      <c r="J44" s="640">
        <v>3218.13327600001</v>
      </c>
      <c r="K44" s="640">
        <v>821782.54304155</v>
      </c>
      <c r="L44" s="640">
        <v>38155.753149</v>
      </c>
      <c r="M44" s="640">
        <v>34031.067277</v>
      </c>
      <c r="N44" s="640">
        <v>340908.844902</v>
      </c>
      <c r="O44" s="640">
        <v>41175.134319</v>
      </c>
      <c r="P44" s="640">
        <v>28487.464947</v>
      </c>
      <c r="Q44" s="640">
        <v>18239.2129</v>
      </c>
      <c r="R44" s="239">
        <v>320785.06554755</v>
      </c>
      <c r="S44" s="640">
        <v>600856.596648</v>
      </c>
      <c r="T44" s="640">
        <v>7564.730548</v>
      </c>
      <c r="U44" s="640">
        <v>181913.560396</v>
      </c>
      <c r="V44" s="640">
        <v>287714.902038</v>
      </c>
      <c r="W44" s="239">
        <v>123663.403666</v>
      </c>
      <c r="X44" s="640">
        <v>4906.867123</v>
      </c>
      <c r="Y44" s="239">
        <v>1582037.53820555</v>
      </c>
      <c r="Z44" s="52"/>
      <c r="AA44" s="53"/>
    </row>
    <row r="45" spans="1:27">
      <c r="A45" s="647"/>
      <c r="B45" s="341" t="s">
        <v>391</v>
      </c>
      <c r="C45" s="640">
        <v>34824.014196</v>
      </c>
      <c r="D45" s="640">
        <v>4360.258401</v>
      </c>
      <c r="E45" s="640">
        <v>30463.755795</v>
      </c>
      <c r="F45" s="640">
        <v>181937.284004</v>
      </c>
      <c r="G45" s="640">
        <v>126126.242571</v>
      </c>
      <c r="H45" s="640">
        <v>4900.441866</v>
      </c>
      <c r="I45" s="640">
        <v>38457.468416</v>
      </c>
      <c r="J45" s="640">
        <v>12453.131151</v>
      </c>
      <c r="K45" s="640">
        <v>734913.00892037</v>
      </c>
      <c r="L45" s="640">
        <v>27927.159515</v>
      </c>
      <c r="M45" s="640">
        <v>26846.492448</v>
      </c>
      <c r="N45" s="640">
        <v>238373.258317</v>
      </c>
      <c r="O45" s="640">
        <v>42468.328551</v>
      </c>
      <c r="P45" s="640">
        <v>28201.471907</v>
      </c>
      <c r="Q45" s="640">
        <v>53266.593537</v>
      </c>
      <c r="R45" s="239">
        <v>317829.70464537</v>
      </c>
      <c r="S45" s="640">
        <v>1010941.504521</v>
      </c>
      <c r="T45" s="640">
        <v>6368.761942</v>
      </c>
      <c r="U45" s="640">
        <v>163442.714045</v>
      </c>
      <c r="V45" s="640">
        <v>435030.134734</v>
      </c>
      <c r="W45" s="239">
        <v>406099.8938</v>
      </c>
      <c r="X45" s="640">
        <v>15317.826539</v>
      </c>
      <c r="Y45" s="239">
        <v>1977933.63818037</v>
      </c>
      <c r="Z45" s="52"/>
      <c r="AA45" s="53"/>
    </row>
    <row r="46" spans="1:27">
      <c r="A46" s="650"/>
      <c r="B46" s="341" t="s">
        <v>382</v>
      </c>
      <c r="C46" s="640">
        <v>59216.832407</v>
      </c>
      <c r="D46" s="640">
        <v>5778.13028</v>
      </c>
      <c r="E46" s="640">
        <v>53438.702127</v>
      </c>
      <c r="F46" s="640">
        <v>173581.609234</v>
      </c>
      <c r="G46" s="640">
        <v>96538.253855</v>
      </c>
      <c r="H46" s="640">
        <v>21587.441421</v>
      </c>
      <c r="I46" s="640">
        <v>28967.085319</v>
      </c>
      <c r="J46" s="640">
        <v>26488.828639</v>
      </c>
      <c r="K46" s="640">
        <v>417182.960163</v>
      </c>
      <c r="L46" s="640">
        <v>41456.684073</v>
      </c>
      <c r="M46" s="640">
        <v>18173.751333</v>
      </c>
      <c r="N46" s="640">
        <v>61776.032178</v>
      </c>
      <c r="O46" s="640">
        <v>17514.818322</v>
      </c>
      <c r="P46" s="640">
        <v>34193.654612</v>
      </c>
      <c r="Q46" s="640">
        <v>16164.504842</v>
      </c>
      <c r="R46" s="239">
        <v>227903.514803</v>
      </c>
      <c r="S46" s="640">
        <v>652848.007686</v>
      </c>
      <c r="T46" s="640">
        <v>9443.880899</v>
      </c>
      <c r="U46" s="640">
        <v>114558.668301</v>
      </c>
      <c r="V46" s="640">
        <v>403090.277988</v>
      </c>
      <c r="W46" s="239">
        <v>125755.180498</v>
      </c>
      <c r="X46" s="640">
        <v>8562.363743</v>
      </c>
      <c r="Y46" s="239">
        <v>1311391.773233</v>
      </c>
      <c r="Z46" s="52"/>
      <c r="AA46" s="53"/>
    </row>
    <row r="47" spans="1:27">
      <c r="A47" s="650"/>
      <c r="B47" s="341" t="s">
        <v>383</v>
      </c>
      <c r="C47" s="640">
        <v>33565.614464</v>
      </c>
      <c r="D47" s="640">
        <v>7996.653314</v>
      </c>
      <c r="E47" s="640">
        <v>25568.96115</v>
      </c>
      <c r="F47" s="640">
        <v>149820.878965</v>
      </c>
      <c r="G47" s="640">
        <v>92156.794324</v>
      </c>
      <c r="H47" s="640">
        <v>11619.150412</v>
      </c>
      <c r="I47" s="640">
        <v>25593.848353</v>
      </c>
      <c r="J47" s="640">
        <v>20451.085876</v>
      </c>
      <c r="K47" s="640">
        <v>589610.039789</v>
      </c>
      <c r="L47" s="640">
        <v>39564.555459</v>
      </c>
      <c r="M47" s="640">
        <v>29645.547358</v>
      </c>
      <c r="N47" s="640">
        <v>215286.371122</v>
      </c>
      <c r="O47" s="640">
        <v>15286.809652</v>
      </c>
      <c r="P47" s="640">
        <v>33663.939638</v>
      </c>
      <c r="Q47" s="640">
        <v>15309.587697</v>
      </c>
      <c r="R47" s="239">
        <v>240853.228863</v>
      </c>
      <c r="S47" s="640">
        <v>692049.213883</v>
      </c>
      <c r="T47" s="640">
        <v>13494.296717</v>
      </c>
      <c r="U47" s="640">
        <v>157698.395493</v>
      </c>
      <c r="V47" s="640">
        <v>348114.909678</v>
      </c>
      <c r="W47" s="239">
        <v>172741.611995</v>
      </c>
      <c r="X47" s="640">
        <v>10727.409438</v>
      </c>
      <c r="Y47" s="239">
        <v>1475773.156539</v>
      </c>
      <c r="Z47" s="52"/>
      <c r="AA47" s="53"/>
    </row>
    <row r="48" spans="1:27">
      <c r="A48" s="650"/>
      <c r="B48" s="341" t="s">
        <v>384</v>
      </c>
      <c r="C48" s="640">
        <v>63745.144652</v>
      </c>
      <c r="D48" s="640">
        <v>3897.136966</v>
      </c>
      <c r="E48" s="640">
        <v>59848.007686</v>
      </c>
      <c r="F48" s="640">
        <v>195311.45027</v>
      </c>
      <c r="G48" s="640">
        <v>107074.08653</v>
      </c>
      <c r="H48" s="640">
        <v>21637.145066</v>
      </c>
      <c r="I48" s="640">
        <v>52508.031646</v>
      </c>
      <c r="J48" s="640">
        <v>14092.187028</v>
      </c>
      <c r="K48" s="640">
        <v>694209.535887</v>
      </c>
      <c r="L48" s="640">
        <v>47672.052322</v>
      </c>
      <c r="M48" s="640">
        <v>27322.048559</v>
      </c>
      <c r="N48" s="640">
        <v>207218.188034</v>
      </c>
      <c r="O48" s="640">
        <v>25414.220567</v>
      </c>
      <c r="P48" s="640">
        <v>31515.459233</v>
      </c>
      <c r="Q48" s="640">
        <v>20736.0261</v>
      </c>
      <c r="R48" s="239">
        <v>334331.541072</v>
      </c>
      <c r="S48" s="640">
        <v>934689.648705</v>
      </c>
      <c r="T48" s="640">
        <v>11447.465311</v>
      </c>
      <c r="U48" s="640">
        <v>206724.329738</v>
      </c>
      <c r="V48" s="640">
        <v>413684.399694</v>
      </c>
      <c r="W48" s="239">
        <v>302833.453962</v>
      </c>
      <c r="X48" s="640">
        <v>17213.615142</v>
      </c>
      <c r="Y48" s="239">
        <v>1905169.394656</v>
      </c>
      <c r="Z48" s="52"/>
      <c r="AA48" s="53"/>
    </row>
    <row r="49" spans="1:27">
      <c r="A49" s="647"/>
      <c r="B49" s="341" t="s">
        <v>385</v>
      </c>
      <c r="C49" s="651">
        <v>44746.55638</v>
      </c>
      <c r="D49" s="640">
        <v>3735.544406</v>
      </c>
      <c r="E49" s="640">
        <v>41011.011974</v>
      </c>
      <c r="F49" s="651">
        <v>180694.112883</v>
      </c>
      <c r="G49" s="640">
        <v>111772.065767</v>
      </c>
      <c r="H49" s="640">
        <v>13781.184525</v>
      </c>
      <c r="I49" s="640">
        <v>42451.453019</v>
      </c>
      <c r="J49" s="640">
        <v>12689.409572</v>
      </c>
      <c r="K49" s="651">
        <v>716403.119977</v>
      </c>
      <c r="L49" s="640">
        <v>46058.635196</v>
      </c>
      <c r="M49" s="640">
        <v>20761.599455</v>
      </c>
      <c r="N49" s="640">
        <v>211465.822799</v>
      </c>
      <c r="O49" s="640">
        <v>36229.911377</v>
      </c>
      <c r="P49" s="640">
        <v>39193.763045</v>
      </c>
      <c r="Q49" s="640">
        <v>15444.257157</v>
      </c>
      <c r="R49" s="239">
        <v>347249.130948</v>
      </c>
      <c r="S49" s="651">
        <v>788692.659256</v>
      </c>
      <c r="T49" s="640">
        <v>11506.440742</v>
      </c>
      <c r="U49" s="640">
        <v>148982.595447</v>
      </c>
      <c r="V49" s="640">
        <v>385758.750855</v>
      </c>
      <c r="W49" s="239">
        <v>242444.872212</v>
      </c>
      <c r="X49" s="651">
        <v>10218.42114</v>
      </c>
      <c r="Y49" s="239">
        <v>1740754.869636</v>
      </c>
      <c r="Z49" s="52"/>
      <c r="AA49" s="53"/>
    </row>
    <row r="50" spans="1:27">
      <c r="A50" s="647"/>
      <c r="B50" s="341" t="s">
        <v>386</v>
      </c>
      <c r="C50" s="651">
        <v>40781.58949</v>
      </c>
      <c r="D50" s="640">
        <v>5026.517697</v>
      </c>
      <c r="E50" s="640">
        <v>35755.071793</v>
      </c>
      <c r="F50" s="651">
        <v>215207.050896</v>
      </c>
      <c r="G50" s="640">
        <v>139198.19692</v>
      </c>
      <c r="H50" s="640">
        <v>22312.667914</v>
      </c>
      <c r="I50" s="640">
        <v>41474.146539</v>
      </c>
      <c r="J50" s="640">
        <v>12222.039523</v>
      </c>
      <c r="K50" s="651">
        <v>829316.189313</v>
      </c>
      <c r="L50" s="640">
        <v>48187.861456</v>
      </c>
      <c r="M50" s="640">
        <v>28035.698314</v>
      </c>
      <c r="N50" s="640">
        <v>211894.631026</v>
      </c>
      <c r="O50" s="640">
        <v>45264.128841</v>
      </c>
      <c r="P50" s="640">
        <v>43975.475539</v>
      </c>
      <c r="Q50" s="640">
        <v>26104.687053</v>
      </c>
      <c r="R50" s="239">
        <v>425853.707084</v>
      </c>
      <c r="S50" s="651">
        <v>910636.002196</v>
      </c>
      <c r="T50" s="640">
        <v>11461.638244</v>
      </c>
      <c r="U50" s="640">
        <v>164055.273298</v>
      </c>
      <c r="V50" s="640">
        <v>444908.262831</v>
      </c>
      <c r="W50" s="239">
        <v>290210.827823</v>
      </c>
      <c r="X50" s="651">
        <v>9976.942033</v>
      </c>
      <c r="Y50" s="239">
        <v>2005917.773928</v>
      </c>
      <c r="Z50" s="52"/>
      <c r="AA50" s="53"/>
    </row>
    <row r="51" spans="1:27">
      <c r="A51" s="647"/>
      <c r="B51" s="341" t="s">
        <v>387</v>
      </c>
      <c r="C51" s="651">
        <v>52592.504845</v>
      </c>
      <c r="D51" s="640">
        <v>7826.055771</v>
      </c>
      <c r="E51" s="640">
        <v>44766.449074</v>
      </c>
      <c r="F51" s="651">
        <v>184542.244845</v>
      </c>
      <c r="G51" s="640">
        <v>93033.100433</v>
      </c>
      <c r="H51" s="640">
        <v>10043.653113</v>
      </c>
      <c r="I51" s="640">
        <v>64428.187009</v>
      </c>
      <c r="J51" s="640">
        <v>17037.30429</v>
      </c>
      <c r="K51" s="651">
        <v>557362.717519</v>
      </c>
      <c r="L51" s="640">
        <v>52124.13227</v>
      </c>
      <c r="M51" s="640">
        <v>28580.443706</v>
      </c>
      <c r="N51" s="640">
        <v>129980.643135</v>
      </c>
      <c r="O51" s="640">
        <v>27334.765576</v>
      </c>
      <c r="P51" s="640">
        <v>44247.880972</v>
      </c>
      <c r="Q51" s="640">
        <v>19647.897057</v>
      </c>
      <c r="R51" s="239">
        <v>255446.954803</v>
      </c>
      <c r="S51" s="651">
        <v>773469.379173</v>
      </c>
      <c r="T51" s="640">
        <v>7810.031051</v>
      </c>
      <c r="U51" s="640">
        <v>155382.857849</v>
      </c>
      <c r="V51" s="640">
        <v>444371.750951</v>
      </c>
      <c r="W51" s="239">
        <v>165904.739322</v>
      </c>
      <c r="X51" s="651">
        <v>21221.813559</v>
      </c>
      <c r="Y51" s="239">
        <v>1589188.659941</v>
      </c>
      <c r="Z51" s="52"/>
      <c r="AA51" s="53"/>
    </row>
    <row r="52" spans="1:27">
      <c r="A52" s="647"/>
      <c r="B52" s="341" t="s">
        <v>388</v>
      </c>
      <c r="C52" s="640">
        <v>44244.711458</v>
      </c>
      <c r="D52" s="640">
        <v>9099.498394</v>
      </c>
      <c r="E52" s="640">
        <v>35145.213064</v>
      </c>
      <c r="F52" s="640">
        <v>196369.341092</v>
      </c>
      <c r="G52" s="640">
        <v>120318.516451</v>
      </c>
      <c r="H52" s="640">
        <v>22020.496466</v>
      </c>
      <c r="I52" s="640">
        <v>29407.200009</v>
      </c>
      <c r="J52" s="640">
        <v>24623.128166</v>
      </c>
      <c r="K52" s="640">
        <v>910264.964935</v>
      </c>
      <c r="L52" s="640">
        <v>36813.59971</v>
      </c>
      <c r="M52" s="640">
        <v>23528.278811</v>
      </c>
      <c r="N52" s="640">
        <v>185568.390078</v>
      </c>
      <c r="O52" s="640">
        <v>42585.286302</v>
      </c>
      <c r="P52" s="640">
        <v>58664.2851</v>
      </c>
      <c r="Q52" s="640">
        <v>35148.253344</v>
      </c>
      <c r="R52" s="239">
        <v>527956.87159</v>
      </c>
      <c r="S52" s="640">
        <v>921055.391402</v>
      </c>
      <c r="T52" s="640">
        <v>12494.154377</v>
      </c>
      <c r="U52" s="640">
        <v>154521.363813</v>
      </c>
      <c r="V52" s="640">
        <v>494224.536238</v>
      </c>
      <c r="W52" s="239">
        <v>259815.336974</v>
      </c>
      <c r="X52" s="640">
        <v>12559.881841</v>
      </c>
      <c r="Y52" s="239">
        <v>2084494.290728</v>
      </c>
      <c r="Z52" s="52"/>
      <c r="AA52" s="53"/>
    </row>
    <row r="53" spans="1:27">
      <c r="A53" s="647"/>
      <c r="B53" s="341" t="s">
        <v>389</v>
      </c>
      <c r="C53" s="640">
        <v>68079.14295</v>
      </c>
      <c r="D53" s="640">
        <v>15064.248427</v>
      </c>
      <c r="E53" s="640">
        <v>53014.894523</v>
      </c>
      <c r="F53" s="640">
        <v>188979.209584</v>
      </c>
      <c r="G53" s="640">
        <v>124103.64284</v>
      </c>
      <c r="H53" s="640">
        <v>11147.269507</v>
      </c>
      <c r="I53" s="640">
        <v>42982.391443</v>
      </c>
      <c r="J53" s="640">
        <v>10745.905794</v>
      </c>
      <c r="K53" s="640">
        <v>1018802.570076</v>
      </c>
      <c r="L53" s="640">
        <v>57524.294247</v>
      </c>
      <c r="M53" s="640">
        <v>28571.489357</v>
      </c>
      <c r="N53" s="640">
        <v>193833.284437</v>
      </c>
      <c r="O53" s="640">
        <v>47835.094926</v>
      </c>
      <c r="P53" s="640">
        <v>43804.76307</v>
      </c>
      <c r="Q53" s="640">
        <v>17411.23415</v>
      </c>
      <c r="R53" s="239">
        <v>629822.409889</v>
      </c>
      <c r="S53" s="640">
        <v>924718.302831</v>
      </c>
      <c r="T53" s="640">
        <v>9483.63</v>
      </c>
      <c r="U53" s="640">
        <v>162980.75486</v>
      </c>
      <c r="V53" s="640">
        <v>573177.941026</v>
      </c>
      <c r="W53" s="239">
        <v>179075.976945</v>
      </c>
      <c r="X53" s="640">
        <v>15157.25172</v>
      </c>
      <c r="Y53" s="239">
        <v>2215736.477161</v>
      </c>
      <c r="Z53" s="52"/>
      <c r="AA53" s="53"/>
    </row>
    <row r="54" spans="1:27">
      <c r="A54" s="647"/>
      <c r="B54" s="341" t="s">
        <v>390</v>
      </c>
      <c r="C54" s="640">
        <v>49147.726561</v>
      </c>
      <c r="D54" s="640">
        <v>11598.087168</v>
      </c>
      <c r="E54" s="640">
        <v>37549.639393</v>
      </c>
      <c r="F54" s="640">
        <v>186352.106982</v>
      </c>
      <c r="G54" s="640">
        <v>95934.70898</v>
      </c>
      <c r="H54" s="640">
        <v>21101.937636</v>
      </c>
      <c r="I54" s="640">
        <v>58636.483745</v>
      </c>
      <c r="J54" s="640">
        <v>10678.976621</v>
      </c>
      <c r="K54" s="640">
        <v>493346.092105</v>
      </c>
      <c r="L54" s="640">
        <v>41484.529806</v>
      </c>
      <c r="M54" s="640">
        <v>31108.702674</v>
      </c>
      <c r="N54" s="640">
        <v>37114.895157</v>
      </c>
      <c r="O54" s="640">
        <v>30205.497617</v>
      </c>
      <c r="P54" s="640">
        <v>34573.728862</v>
      </c>
      <c r="Q54" s="640">
        <v>15594.64987</v>
      </c>
      <c r="R54" s="239">
        <v>303264.088119</v>
      </c>
      <c r="S54" s="640">
        <v>897981.876907</v>
      </c>
      <c r="T54" s="640">
        <v>11925.772894</v>
      </c>
      <c r="U54" s="640">
        <v>112881.877854</v>
      </c>
      <c r="V54" s="640">
        <v>585252.411226</v>
      </c>
      <c r="W54" s="239">
        <v>187921.814933</v>
      </c>
      <c r="X54" s="640">
        <v>13522.905044</v>
      </c>
      <c r="Y54" s="239">
        <v>1640350.707599</v>
      </c>
      <c r="Z54" s="52"/>
      <c r="AA54" s="53"/>
    </row>
    <row r="55" spans="1:27">
      <c r="A55" s="608">
        <v>2022</v>
      </c>
      <c r="B55" s="341" t="s">
        <v>379</v>
      </c>
      <c r="C55" s="640">
        <v>41191.727757</v>
      </c>
      <c r="D55" s="640">
        <v>6533.688199</v>
      </c>
      <c r="E55" s="640">
        <v>34658.039558</v>
      </c>
      <c r="F55" s="640">
        <v>345962.887719054</v>
      </c>
      <c r="G55" s="640">
        <v>117057.601104158</v>
      </c>
      <c r="H55" s="640">
        <v>7813.724614</v>
      </c>
      <c r="I55" s="640">
        <v>56664.25033</v>
      </c>
      <c r="J55" s="640">
        <v>164427.311670896</v>
      </c>
      <c r="K55" s="640">
        <v>592432.67736536</v>
      </c>
      <c r="L55" s="640">
        <v>36872.652216</v>
      </c>
      <c r="M55" s="640">
        <v>26974.558396</v>
      </c>
      <c r="N55" s="640">
        <v>210278.116445388</v>
      </c>
      <c r="O55" s="640">
        <v>25725.172489</v>
      </c>
      <c r="P55" s="640">
        <v>85412.815017279</v>
      </c>
      <c r="Q55" s="640">
        <v>17519.105029</v>
      </c>
      <c r="R55" s="239">
        <v>189650.257772693</v>
      </c>
      <c r="S55" s="640">
        <v>1065203.19395975</v>
      </c>
      <c r="T55" s="640">
        <v>16545.814172</v>
      </c>
      <c r="U55" s="640">
        <v>189740.774727662</v>
      </c>
      <c r="V55" s="640">
        <v>509830.980269</v>
      </c>
      <c r="W55" s="239">
        <v>349085.624791093</v>
      </c>
      <c r="X55" s="640">
        <v>9818.783797</v>
      </c>
      <c r="Y55" s="239">
        <v>2054609.27059817</v>
      </c>
      <c r="Z55" s="52"/>
      <c r="AA55" s="53"/>
    </row>
    <row r="56" spans="1:27">
      <c r="A56" s="647"/>
      <c r="B56" s="341" t="s">
        <v>380</v>
      </c>
      <c r="C56" s="640">
        <v>37266.0663</v>
      </c>
      <c r="D56" s="640">
        <v>5137.553584</v>
      </c>
      <c r="E56" s="640">
        <v>32128.512716</v>
      </c>
      <c r="F56" s="640">
        <v>164340.997927877</v>
      </c>
      <c r="G56" s="640">
        <v>86246.294601877</v>
      </c>
      <c r="H56" s="640">
        <v>27894.282406</v>
      </c>
      <c r="I56" s="640">
        <v>17089.737213</v>
      </c>
      <c r="J56" s="640">
        <v>33110.683707</v>
      </c>
      <c r="K56" s="640">
        <v>1047568.93342601</v>
      </c>
      <c r="L56" s="640">
        <v>32514.139919</v>
      </c>
      <c r="M56" s="640">
        <v>53428.840322882</v>
      </c>
      <c r="N56" s="640">
        <v>297926.628806675</v>
      </c>
      <c r="O56" s="640">
        <v>52236.156051731</v>
      </c>
      <c r="P56" s="640">
        <v>29722.71928635</v>
      </c>
      <c r="Q56" s="640">
        <v>30307.698903146</v>
      </c>
      <c r="R56" s="239">
        <v>551432.750136231</v>
      </c>
      <c r="S56" s="640">
        <v>751458.739542</v>
      </c>
      <c r="T56" s="640">
        <v>10232.376495</v>
      </c>
      <c r="U56" s="640">
        <v>122527.150919</v>
      </c>
      <c r="V56" s="640">
        <v>466348.719473</v>
      </c>
      <c r="W56" s="239">
        <v>152350.492655</v>
      </c>
      <c r="X56" s="640">
        <v>12978.821925</v>
      </c>
      <c r="Y56" s="239">
        <v>2013613.55912089</v>
      </c>
      <c r="Z56" s="52"/>
      <c r="AA56" s="53"/>
    </row>
    <row r="57" spans="1:27">
      <c r="A57" s="647"/>
      <c r="B57" s="341" t="s">
        <v>391</v>
      </c>
      <c r="C57" s="640">
        <v>74155.087899</v>
      </c>
      <c r="D57" s="640">
        <v>10700.130269</v>
      </c>
      <c r="E57" s="640">
        <v>63454.95763</v>
      </c>
      <c r="F57" s="640">
        <v>247776.803716</v>
      </c>
      <c r="G57" s="640">
        <v>134027.677813</v>
      </c>
      <c r="H57" s="640">
        <v>20133.332112</v>
      </c>
      <c r="I57" s="640">
        <v>48453.515064</v>
      </c>
      <c r="J57" s="640">
        <v>45162.278727</v>
      </c>
      <c r="K57" s="640">
        <v>1641282.04932286</v>
      </c>
      <c r="L57" s="640">
        <v>42882.035548</v>
      </c>
      <c r="M57" s="640">
        <v>73326.540251117</v>
      </c>
      <c r="N57" s="640">
        <v>372215.307783232</v>
      </c>
      <c r="O57" s="640">
        <v>40396.75459329</v>
      </c>
      <c r="P57" s="640">
        <v>160582.436766575</v>
      </c>
      <c r="Q57" s="640">
        <v>42573.143673816</v>
      </c>
      <c r="R57" s="239">
        <v>909305.830706826</v>
      </c>
      <c r="S57" s="640">
        <v>1454109.48314063</v>
      </c>
      <c r="T57" s="640">
        <v>9294.83974</v>
      </c>
      <c r="U57" s="640">
        <v>320180.61292077</v>
      </c>
      <c r="V57" s="640">
        <v>531343.214701</v>
      </c>
      <c r="W57" s="239">
        <v>593290.815778855</v>
      </c>
      <c r="X57" s="640">
        <v>10127.265754</v>
      </c>
      <c r="Y57" s="239">
        <v>3427450.68983248</v>
      </c>
      <c r="Z57" s="52"/>
      <c r="AA57" s="53"/>
    </row>
    <row r="58" spans="1:27">
      <c r="A58" s="647"/>
      <c r="B58" s="341" t="s">
        <v>382</v>
      </c>
      <c r="C58" s="638">
        <v>83678.076083</v>
      </c>
      <c r="D58" s="638">
        <v>13282.336525</v>
      </c>
      <c r="E58" s="640">
        <v>70395.739558</v>
      </c>
      <c r="F58" s="638">
        <v>179513.726221</v>
      </c>
      <c r="G58" s="638">
        <v>96465.347847</v>
      </c>
      <c r="H58" s="638">
        <v>7243.364517</v>
      </c>
      <c r="I58" s="638">
        <v>42663.285686</v>
      </c>
      <c r="J58" s="640">
        <v>33141.728171</v>
      </c>
      <c r="K58" s="640">
        <v>513366.127485</v>
      </c>
      <c r="L58" s="638">
        <v>41299.926597</v>
      </c>
      <c r="M58" s="638">
        <v>37348.623633</v>
      </c>
      <c r="N58" s="638">
        <v>49044.493298</v>
      </c>
      <c r="O58" s="638">
        <v>17945.000315</v>
      </c>
      <c r="P58" s="638">
        <v>13431.963065</v>
      </c>
      <c r="Q58" s="638">
        <v>19184.585959</v>
      </c>
      <c r="R58" s="239">
        <v>335111.534618</v>
      </c>
      <c r="S58" s="638">
        <v>929904.101917</v>
      </c>
      <c r="T58" s="638">
        <v>15771.500427</v>
      </c>
      <c r="U58" s="638">
        <v>148647.983789</v>
      </c>
      <c r="V58" s="638">
        <v>464223.773186</v>
      </c>
      <c r="W58" s="239">
        <v>301260.844515</v>
      </c>
      <c r="X58" s="640">
        <v>7237.15721</v>
      </c>
      <c r="Y58" s="239">
        <v>1713699.188916</v>
      </c>
      <c r="Z58" s="52"/>
      <c r="AA58" s="53"/>
    </row>
    <row r="59" spans="1:27">
      <c r="A59" s="647"/>
      <c r="B59" s="341" t="s">
        <v>383</v>
      </c>
      <c r="C59" s="638">
        <v>98975.491576</v>
      </c>
      <c r="D59" s="638">
        <v>4313.527986</v>
      </c>
      <c r="E59" s="640">
        <v>94661.96359</v>
      </c>
      <c r="F59" s="638">
        <v>172237.565664</v>
      </c>
      <c r="G59" s="638">
        <v>111790.343214</v>
      </c>
      <c r="H59" s="638">
        <v>2162.696167</v>
      </c>
      <c r="I59" s="638">
        <v>45470.029283</v>
      </c>
      <c r="J59" s="640">
        <v>12814.497</v>
      </c>
      <c r="K59" s="640">
        <v>891523.112867</v>
      </c>
      <c r="L59" s="638">
        <v>34731.831084</v>
      </c>
      <c r="M59" s="638">
        <v>36074.496425</v>
      </c>
      <c r="N59" s="638">
        <v>213241.586124</v>
      </c>
      <c r="O59" s="638">
        <v>18533.187742</v>
      </c>
      <c r="P59" s="638">
        <v>33765.885386</v>
      </c>
      <c r="Q59" s="638">
        <v>10895.929995</v>
      </c>
      <c r="R59" s="239">
        <v>544280.196111</v>
      </c>
      <c r="S59" s="638">
        <v>879360.082115</v>
      </c>
      <c r="T59" s="638">
        <v>11610.16224</v>
      </c>
      <c r="U59" s="638">
        <v>172541.750825</v>
      </c>
      <c r="V59" s="638">
        <v>488374.393907</v>
      </c>
      <c r="W59" s="239">
        <v>206833.775143</v>
      </c>
      <c r="X59" s="640">
        <v>9717.712574</v>
      </c>
      <c r="Y59" s="239">
        <v>2051813.964796</v>
      </c>
      <c r="Z59" s="52"/>
      <c r="AA59" s="53"/>
    </row>
    <row r="60" spans="1:27">
      <c r="A60" s="647"/>
      <c r="B60" s="608" t="s">
        <v>384</v>
      </c>
      <c r="C60" s="638">
        <v>62211.015201</v>
      </c>
      <c r="D60" s="638">
        <v>14451.836051</v>
      </c>
      <c r="E60" s="640">
        <v>47759.17915</v>
      </c>
      <c r="F60" s="638">
        <v>276335.34773025</v>
      </c>
      <c r="G60" s="638">
        <v>192135.46332725</v>
      </c>
      <c r="H60" s="638">
        <v>23761.063789</v>
      </c>
      <c r="I60" s="638">
        <v>40907.003119</v>
      </c>
      <c r="J60" s="640">
        <v>19531.817495</v>
      </c>
      <c r="K60" s="640">
        <v>1314095.55123142</v>
      </c>
      <c r="L60" s="638">
        <v>50094.090385</v>
      </c>
      <c r="M60" s="638">
        <v>54340.969917326</v>
      </c>
      <c r="N60" s="638">
        <v>475926.621556605</v>
      </c>
      <c r="O60" s="638">
        <v>26025.077583</v>
      </c>
      <c r="P60" s="638">
        <v>37825.490319743</v>
      </c>
      <c r="Q60" s="638">
        <v>21539.338933</v>
      </c>
      <c r="R60" s="239">
        <v>648343.962536741</v>
      </c>
      <c r="S60" s="638">
        <v>955819.800627552</v>
      </c>
      <c r="T60" s="638">
        <v>10854.051008</v>
      </c>
      <c r="U60" s="638">
        <v>138007.795754</v>
      </c>
      <c r="V60" s="638">
        <v>465916.151886</v>
      </c>
      <c r="W60" s="239">
        <v>341041.801979552</v>
      </c>
      <c r="X60" s="640">
        <v>14539.29933</v>
      </c>
      <c r="Y60" s="239">
        <v>2623001.01412022</v>
      </c>
      <c r="Z60" s="52"/>
      <c r="AA60" s="53"/>
    </row>
    <row r="61" spans="1:27">
      <c r="A61" s="647"/>
      <c r="B61" s="608" t="s">
        <v>385</v>
      </c>
      <c r="C61" s="638">
        <v>65848.988768</v>
      </c>
      <c r="D61" s="638">
        <v>11268.97281</v>
      </c>
      <c r="E61" s="640">
        <v>54580.015958</v>
      </c>
      <c r="F61" s="638">
        <v>210648.278983</v>
      </c>
      <c r="G61" s="638">
        <v>100271.072164</v>
      </c>
      <c r="H61" s="638">
        <v>40749.918286</v>
      </c>
      <c r="I61" s="638">
        <v>48146.563804</v>
      </c>
      <c r="J61" s="640">
        <v>21480.724729</v>
      </c>
      <c r="K61" s="638">
        <v>982359.478038478</v>
      </c>
      <c r="L61" s="638">
        <v>45153.774302</v>
      </c>
      <c r="M61" s="638">
        <v>81825.492244</v>
      </c>
      <c r="N61" s="638">
        <v>228633.580148478</v>
      </c>
      <c r="O61" s="638">
        <v>51436.481249</v>
      </c>
      <c r="P61" s="638">
        <v>36998.791501</v>
      </c>
      <c r="Q61" s="638">
        <v>12171.65553</v>
      </c>
      <c r="R61" s="239">
        <v>526139.703064</v>
      </c>
      <c r="S61" s="638">
        <v>1090514.43989892</v>
      </c>
      <c r="T61" s="638">
        <v>11119.918547</v>
      </c>
      <c r="U61" s="638">
        <v>275864.418799738</v>
      </c>
      <c r="V61" s="638">
        <v>444936.692293</v>
      </c>
      <c r="W61" s="239">
        <v>358593.410259186</v>
      </c>
      <c r="X61" s="638">
        <v>12894.963952</v>
      </c>
      <c r="Y61" s="239">
        <v>2362266.1496404</v>
      </c>
      <c r="Z61" s="52"/>
      <c r="AA61" s="53"/>
    </row>
    <row r="62" spans="1:27">
      <c r="A62" s="647"/>
      <c r="B62" s="608" t="s">
        <v>386</v>
      </c>
      <c r="C62" s="638">
        <v>43260.271506</v>
      </c>
      <c r="D62" s="638">
        <v>6191.483156</v>
      </c>
      <c r="E62" s="640">
        <v>37068.78835</v>
      </c>
      <c r="F62" s="638">
        <v>204736.568494824</v>
      </c>
      <c r="G62" s="638">
        <v>138538.710029824</v>
      </c>
      <c r="H62" s="638">
        <v>9596.448229</v>
      </c>
      <c r="I62" s="638">
        <v>22641.515522</v>
      </c>
      <c r="J62" s="640">
        <v>33959.894714</v>
      </c>
      <c r="K62" s="638">
        <v>783632.683479778</v>
      </c>
      <c r="L62" s="638">
        <v>53707.170025</v>
      </c>
      <c r="M62" s="638">
        <v>57960.934729561</v>
      </c>
      <c r="N62" s="638">
        <v>276916.182673715</v>
      </c>
      <c r="O62" s="638">
        <v>24664.826056</v>
      </c>
      <c r="P62" s="638">
        <v>43616.480363378</v>
      </c>
      <c r="Q62" s="638">
        <v>15220.591333</v>
      </c>
      <c r="R62" s="239">
        <v>311546.498299124</v>
      </c>
      <c r="S62" s="638">
        <v>1124070.19344981</v>
      </c>
      <c r="T62" s="638">
        <v>9270.010109</v>
      </c>
      <c r="U62" s="638">
        <v>151092.946748288</v>
      </c>
      <c r="V62" s="638">
        <v>600421.525439</v>
      </c>
      <c r="W62" s="239">
        <v>363285.711153524</v>
      </c>
      <c r="X62" s="638">
        <v>19299.632129</v>
      </c>
      <c r="Y62" s="239">
        <v>2174999.34905941</v>
      </c>
      <c r="Z62" s="52"/>
      <c r="AA62" s="53"/>
    </row>
    <row r="63" spans="1:27">
      <c r="A63" s="647"/>
      <c r="B63" s="608" t="s">
        <v>387</v>
      </c>
      <c r="C63" s="638">
        <v>51534.866557</v>
      </c>
      <c r="D63" s="638">
        <v>8774.842096</v>
      </c>
      <c r="E63" s="640">
        <v>42760.024461</v>
      </c>
      <c r="F63" s="638">
        <v>182885.192402</v>
      </c>
      <c r="G63" s="638">
        <v>127130.65383</v>
      </c>
      <c r="H63" s="638">
        <v>3190.13103</v>
      </c>
      <c r="I63" s="638">
        <v>38667.140316</v>
      </c>
      <c r="J63" s="640">
        <v>13897.267226</v>
      </c>
      <c r="K63" s="638">
        <v>628316.960149388</v>
      </c>
      <c r="L63" s="638">
        <v>54717.804193</v>
      </c>
      <c r="M63" s="638">
        <v>39213.169000618</v>
      </c>
      <c r="N63" s="638">
        <v>164015.428560689</v>
      </c>
      <c r="O63" s="638">
        <v>20319.949155</v>
      </c>
      <c r="P63" s="638">
        <v>54130.095533161</v>
      </c>
      <c r="Q63" s="638">
        <v>22195.0616</v>
      </c>
      <c r="R63" s="239">
        <v>273725.45210692</v>
      </c>
      <c r="S63" s="638">
        <v>930878.488639788</v>
      </c>
      <c r="T63" s="638">
        <v>12465.479513</v>
      </c>
      <c r="U63" s="638">
        <v>141230.72834602</v>
      </c>
      <c r="V63" s="638">
        <v>480950.208609</v>
      </c>
      <c r="W63" s="239">
        <v>296232.072171768</v>
      </c>
      <c r="X63" s="638">
        <v>12650.770108</v>
      </c>
      <c r="Y63" s="239">
        <v>1806266.27785618</v>
      </c>
      <c r="Z63" s="52"/>
      <c r="AA63" s="53"/>
    </row>
    <row r="64" spans="1:27">
      <c r="A64" s="647"/>
      <c r="B64" s="608" t="s">
        <v>388</v>
      </c>
      <c r="C64" s="638">
        <v>62088.246943</v>
      </c>
      <c r="D64" s="638">
        <v>26072.223443</v>
      </c>
      <c r="E64" s="640">
        <v>36016.0235</v>
      </c>
      <c r="F64" s="638">
        <v>166442.011486</v>
      </c>
      <c r="G64" s="638">
        <v>113278.30372</v>
      </c>
      <c r="H64" s="638">
        <v>11437.65596</v>
      </c>
      <c r="I64" s="638">
        <v>32174.009613</v>
      </c>
      <c r="J64" s="638">
        <v>9552.042193</v>
      </c>
      <c r="K64" s="638">
        <v>1065525.40866959</v>
      </c>
      <c r="L64" s="638">
        <v>42983.719386</v>
      </c>
      <c r="M64" s="638">
        <v>41626.421409</v>
      </c>
      <c r="N64" s="638">
        <v>280006.297336</v>
      </c>
      <c r="O64" s="638">
        <v>36034.804804</v>
      </c>
      <c r="P64" s="638">
        <v>82117.040059</v>
      </c>
      <c r="Q64" s="638">
        <v>20461.213468</v>
      </c>
      <c r="R64" s="239">
        <v>562295.912207593</v>
      </c>
      <c r="S64" s="638">
        <v>882748.964270192</v>
      </c>
      <c r="T64" s="638">
        <v>10300.298304</v>
      </c>
      <c r="U64" s="638">
        <v>92281.595988</v>
      </c>
      <c r="V64" s="638">
        <v>422588.605202</v>
      </c>
      <c r="W64" s="239">
        <v>357578.464776192</v>
      </c>
      <c r="X64" s="638">
        <v>10385.69119</v>
      </c>
      <c r="Y64" s="239">
        <v>2187190.32255878</v>
      </c>
      <c r="Z64" s="52"/>
      <c r="AA64" s="53"/>
    </row>
    <row r="65" spans="1:27">
      <c r="A65" s="647"/>
      <c r="B65" s="608" t="s">
        <v>389</v>
      </c>
      <c r="C65" s="638">
        <v>71579.34943</v>
      </c>
      <c r="D65" s="638">
        <v>24376.602814</v>
      </c>
      <c r="E65" s="640">
        <v>47202.746616</v>
      </c>
      <c r="F65" s="638">
        <v>163034.700165</v>
      </c>
      <c r="G65" s="638">
        <v>108435.838329</v>
      </c>
      <c r="H65" s="638">
        <v>2219.098421</v>
      </c>
      <c r="I65" s="638">
        <v>42061.993036</v>
      </c>
      <c r="J65" s="638">
        <v>10317.770379</v>
      </c>
      <c r="K65" s="638">
        <v>667496.671284</v>
      </c>
      <c r="L65" s="638">
        <v>29894.723322</v>
      </c>
      <c r="M65" s="638">
        <v>43646.469732</v>
      </c>
      <c r="N65" s="638">
        <v>71684.246239</v>
      </c>
      <c r="O65" s="638">
        <v>19559.881041</v>
      </c>
      <c r="P65" s="638">
        <v>62523.819317</v>
      </c>
      <c r="Q65" s="638">
        <v>13414.375177</v>
      </c>
      <c r="R65" s="239">
        <v>426773.156456</v>
      </c>
      <c r="S65" s="638">
        <v>1018467.359479</v>
      </c>
      <c r="T65" s="638">
        <v>12703.887239</v>
      </c>
      <c r="U65" s="638">
        <v>156146.588068</v>
      </c>
      <c r="V65" s="638">
        <v>481069.306588</v>
      </c>
      <c r="W65" s="239">
        <v>368547.577584</v>
      </c>
      <c r="X65" s="638">
        <v>19330.682689</v>
      </c>
      <c r="Y65" s="239">
        <v>1939908.763047</v>
      </c>
      <c r="Z65" s="52"/>
      <c r="AA65" s="53"/>
    </row>
    <row r="66" spans="1:27">
      <c r="A66" s="647"/>
      <c r="B66" s="608" t="s">
        <v>390</v>
      </c>
      <c r="C66" s="638">
        <v>46468.50463</v>
      </c>
      <c r="D66" s="638">
        <v>4931.348342</v>
      </c>
      <c r="E66" s="640">
        <v>41537.156288</v>
      </c>
      <c r="F66" s="638">
        <v>180287.963331</v>
      </c>
      <c r="G66" s="638">
        <v>97511.100499</v>
      </c>
      <c r="H66" s="638">
        <v>24292.849638</v>
      </c>
      <c r="I66" s="638">
        <v>47115.357771</v>
      </c>
      <c r="J66" s="638">
        <v>11368.655423</v>
      </c>
      <c r="K66" s="638">
        <v>277958.444524</v>
      </c>
      <c r="L66" s="638">
        <v>40880.700062</v>
      </c>
      <c r="M66" s="638">
        <v>28629.83396</v>
      </c>
      <c r="N66" s="638">
        <v>13640.713014</v>
      </c>
      <c r="O66" s="638">
        <v>17240.168366</v>
      </c>
      <c r="P66" s="638">
        <v>30877.85981</v>
      </c>
      <c r="Q66" s="638">
        <v>17072.272586</v>
      </c>
      <c r="R66" s="239">
        <v>129616.896726</v>
      </c>
      <c r="S66" s="638">
        <v>729405.785268</v>
      </c>
      <c r="T66" s="638">
        <v>11896.168081</v>
      </c>
      <c r="U66" s="638">
        <v>120517.838693</v>
      </c>
      <c r="V66" s="638">
        <v>450932.395976</v>
      </c>
      <c r="W66" s="239">
        <v>146059.382518</v>
      </c>
      <c r="X66" s="638">
        <v>1608.162169</v>
      </c>
      <c r="Y66" s="239">
        <v>1235728.859922</v>
      </c>
      <c r="Z66" s="52"/>
      <c r="AA66" s="53"/>
    </row>
    <row r="67" spans="1:27">
      <c r="A67" s="608">
        <v>2023</v>
      </c>
      <c r="B67" s="239" t="s">
        <v>379</v>
      </c>
      <c r="C67" s="239">
        <v>55855.985062</v>
      </c>
      <c r="D67" s="239">
        <v>10090.667805</v>
      </c>
      <c r="E67" s="640">
        <v>45765.317257</v>
      </c>
      <c r="F67" s="239">
        <v>184577.43582414</v>
      </c>
      <c r="G67" s="239">
        <v>110229.67688914</v>
      </c>
      <c r="H67" s="239">
        <v>27578.591671</v>
      </c>
      <c r="I67" s="239">
        <v>39006.239781</v>
      </c>
      <c r="J67" s="239">
        <v>7762.92748300001</v>
      </c>
      <c r="K67" s="239">
        <v>1050914.78660559</v>
      </c>
      <c r="L67" s="239">
        <v>37145.296298</v>
      </c>
      <c r="M67" s="239">
        <v>67086.22429141</v>
      </c>
      <c r="N67" s="239">
        <v>265620.26087098</v>
      </c>
      <c r="O67" s="239">
        <v>32237.526424</v>
      </c>
      <c r="P67" s="239">
        <v>42985.18782886</v>
      </c>
      <c r="Q67" s="239">
        <v>67176.81659675</v>
      </c>
      <c r="R67" s="239">
        <v>538663.47429559</v>
      </c>
      <c r="S67" s="239">
        <v>1023659.16248842</v>
      </c>
      <c r="T67" s="239">
        <v>14984.383635</v>
      </c>
      <c r="U67" s="239">
        <v>140112.895292209</v>
      </c>
      <c r="V67" s="239">
        <v>503706.741865</v>
      </c>
      <c r="W67" s="239">
        <v>364855.141696207</v>
      </c>
      <c r="X67" s="239">
        <v>2535.292524</v>
      </c>
      <c r="Y67" s="239">
        <v>2317542.66250415</v>
      </c>
      <c r="Z67" s="52"/>
      <c r="AA67" s="53"/>
    </row>
    <row r="68" spans="1:27">
      <c r="A68" s="647"/>
      <c r="B68" s="239" t="s">
        <v>380</v>
      </c>
      <c r="C68" s="239">
        <v>65257.4536014</v>
      </c>
      <c r="D68" s="239">
        <v>27400.4328794</v>
      </c>
      <c r="E68" s="640">
        <v>37857.020722</v>
      </c>
      <c r="F68" s="239">
        <v>163395.129719</v>
      </c>
      <c r="G68" s="239">
        <v>84379.001959</v>
      </c>
      <c r="H68" s="239">
        <v>12289.935983</v>
      </c>
      <c r="I68" s="239">
        <v>57052.582147</v>
      </c>
      <c r="J68" s="239">
        <v>9673.60962999999</v>
      </c>
      <c r="K68" s="239">
        <v>955107.11461113</v>
      </c>
      <c r="L68" s="239">
        <v>25632.960291</v>
      </c>
      <c r="M68" s="239">
        <v>37877.708334</v>
      </c>
      <c r="N68" s="239">
        <v>273921.014833222</v>
      </c>
      <c r="O68" s="239">
        <v>45235.314642291</v>
      </c>
      <c r="P68" s="239">
        <v>29973.319660487</v>
      </c>
      <c r="Q68" s="239">
        <v>16464.537653</v>
      </c>
      <c r="R68" s="239">
        <v>526002.25919713</v>
      </c>
      <c r="S68" s="239">
        <v>743051.5306595</v>
      </c>
      <c r="T68" s="239">
        <v>11378.45031</v>
      </c>
      <c r="U68" s="239">
        <v>133760.05813721</v>
      </c>
      <c r="V68" s="239">
        <v>383881.634</v>
      </c>
      <c r="W68" s="239">
        <v>214031.38821229</v>
      </c>
      <c r="X68" s="239">
        <v>17845.066187</v>
      </c>
      <c r="Y68" s="239">
        <v>1944656.29477803</v>
      </c>
      <c r="Z68" s="52"/>
      <c r="AA68" s="53"/>
    </row>
    <row r="69" spans="1:27">
      <c r="A69" s="647"/>
      <c r="B69" s="239" t="s">
        <v>391</v>
      </c>
      <c r="C69" s="239">
        <v>49486.282575</v>
      </c>
      <c r="D69" s="239">
        <v>4805.126317</v>
      </c>
      <c r="E69" s="640">
        <v>44681.156258</v>
      </c>
      <c r="F69" s="239">
        <v>184581.95753</v>
      </c>
      <c r="G69" s="239">
        <v>89334.278455</v>
      </c>
      <c r="H69" s="239">
        <v>32881.661719</v>
      </c>
      <c r="I69" s="239">
        <v>45027.743606</v>
      </c>
      <c r="J69" s="239">
        <v>17338.27375</v>
      </c>
      <c r="K69" s="239">
        <v>945058.188225763</v>
      </c>
      <c r="L69" s="239">
        <v>35718.117983</v>
      </c>
      <c r="M69" s="239">
        <v>41913.570702</v>
      </c>
      <c r="N69" s="239">
        <v>214895.904756337</v>
      </c>
      <c r="O69" s="239">
        <v>37758.818159706</v>
      </c>
      <c r="P69" s="239">
        <v>26909.543755613</v>
      </c>
      <c r="Q69" s="239">
        <v>28732.640537006</v>
      </c>
      <c r="R69" s="239">
        <v>559129.592332101</v>
      </c>
      <c r="S69" s="239">
        <v>1014406.10908422</v>
      </c>
      <c r="T69" s="239">
        <v>15118.155477</v>
      </c>
      <c r="U69" s="239">
        <v>254152.004489249</v>
      </c>
      <c r="V69" s="239">
        <v>409140.85557</v>
      </c>
      <c r="W69" s="239">
        <v>335995.093547973</v>
      </c>
      <c r="X69" s="239">
        <v>10370.889976</v>
      </c>
      <c r="Y69" s="239">
        <v>2203903.42739099</v>
      </c>
      <c r="Z69" s="52"/>
      <c r="AA69" s="53"/>
    </row>
    <row r="70" spans="1:27">
      <c r="A70" s="647"/>
      <c r="B70" s="239" t="s">
        <v>382</v>
      </c>
      <c r="C70" s="239">
        <v>94712.995346111</v>
      </c>
      <c r="D70" s="239">
        <v>31967.728089111</v>
      </c>
      <c r="E70" s="640">
        <v>62745.267257</v>
      </c>
      <c r="F70" s="239">
        <v>178980.057527</v>
      </c>
      <c r="G70" s="239">
        <v>85034.79493</v>
      </c>
      <c r="H70" s="239">
        <v>7015.826361</v>
      </c>
      <c r="I70" s="239">
        <v>38416.774546</v>
      </c>
      <c r="J70" s="239">
        <v>48512.66169</v>
      </c>
      <c r="K70" s="239">
        <v>881474.326737111</v>
      </c>
      <c r="L70" s="239">
        <v>49844.247831</v>
      </c>
      <c r="M70" s="239">
        <v>77135.280603</v>
      </c>
      <c r="N70" s="239">
        <v>221526.238406</v>
      </c>
      <c r="O70" s="239">
        <v>24894.718874</v>
      </c>
      <c r="P70" s="239">
        <v>16350.978078</v>
      </c>
      <c r="Q70" s="239">
        <v>28676.291277</v>
      </c>
      <c r="R70" s="239">
        <v>463046.571668111</v>
      </c>
      <c r="S70" s="239">
        <v>775180.75721446</v>
      </c>
      <c r="T70" s="239">
        <v>15374.003007</v>
      </c>
      <c r="U70" s="239">
        <v>148090.570710455</v>
      </c>
      <c r="V70" s="239">
        <v>331907.993634</v>
      </c>
      <c r="W70" s="239">
        <v>279808.189863005</v>
      </c>
      <c r="X70" s="239">
        <v>4071.062402</v>
      </c>
      <c r="Y70" s="239">
        <v>1934419.19922668</v>
      </c>
      <c r="Z70" s="52"/>
      <c r="AA70" s="53"/>
    </row>
    <row r="71" spans="1:27">
      <c r="A71" s="647"/>
      <c r="B71" s="239" t="s">
        <v>383</v>
      </c>
      <c r="C71" s="239">
        <v>90030.05152885</v>
      </c>
      <c r="D71" s="239">
        <v>5825.891403</v>
      </c>
      <c r="E71" s="640">
        <v>84204.16012585</v>
      </c>
      <c r="F71" s="239">
        <v>818949.142762</v>
      </c>
      <c r="G71" s="239">
        <v>743540.632407</v>
      </c>
      <c r="H71" s="239">
        <v>21101.68627</v>
      </c>
      <c r="I71" s="239">
        <v>37708.809039</v>
      </c>
      <c r="J71" s="239">
        <v>16598.015046</v>
      </c>
      <c r="K71" s="239">
        <v>827417.284807989</v>
      </c>
      <c r="L71" s="239">
        <v>38407.229439</v>
      </c>
      <c r="M71" s="239">
        <v>57239.179736505</v>
      </c>
      <c r="N71" s="239">
        <v>85962.240378477</v>
      </c>
      <c r="O71" s="239">
        <v>27583.721206</v>
      </c>
      <c r="P71" s="239">
        <v>49598.05479588</v>
      </c>
      <c r="Q71" s="239">
        <v>17557.359608</v>
      </c>
      <c r="R71" s="239">
        <v>551069.499644127</v>
      </c>
      <c r="S71" s="239">
        <v>901931.63334236</v>
      </c>
      <c r="T71" s="239">
        <v>14193.660027</v>
      </c>
      <c r="U71" s="239">
        <v>191067.070393376</v>
      </c>
      <c r="V71" s="239">
        <v>457639.105901</v>
      </c>
      <c r="W71" s="239">
        <v>239031.797020984</v>
      </c>
      <c r="X71" s="239">
        <v>6838.052083</v>
      </c>
      <c r="Y71" s="239">
        <v>2645166.1645242</v>
      </c>
      <c r="Z71" s="52"/>
      <c r="AA71" s="53"/>
    </row>
    <row r="72" spans="1:27">
      <c r="A72" s="647"/>
      <c r="B72" s="239" t="s">
        <v>384</v>
      </c>
      <c r="C72" s="239">
        <v>53492.564632</v>
      </c>
      <c r="D72" s="239">
        <v>14272.730402</v>
      </c>
      <c r="E72" s="640">
        <v>39219.83423</v>
      </c>
      <c r="F72" s="239">
        <v>195762.29738</v>
      </c>
      <c r="G72" s="239">
        <v>92879.196002</v>
      </c>
      <c r="H72" s="239">
        <v>21609.286941</v>
      </c>
      <c r="I72" s="239">
        <v>69495.617542</v>
      </c>
      <c r="J72" s="239">
        <v>11778.196895</v>
      </c>
      <c r="K72" s="239">
        <v>678039.088602936</v>
      </c>
      <c r="L72" s="239">
        <v>28945.326308</v>
      </c>
      <c r="M72" s="239">
        <v>56410.20447233</v>
      </c>
      <c r="N72" s="239">
        <v>115713.752150059</v>
      </c>
      <c r="O72" s="239">
        <v>22084.385752</v>
      </c>
      <c r="P72" s="239">
        <v>39482.407737354</v>
      </c>
      <c r="Q72" s="239">
        <v>11769.247731</v>
      </c>
      <c r="R72" s="239">
        <v>403633.764452193</v>
      </c>
      <c r="S72" s="239">
        <v>789974.175939039</v>
      </c>
      <c r="T72" s="239">
        <v>10784.673904</v>
      </c>
      <c r="U72" s="239">
        <v>78613.487295</v>
      </c>
      <c r="V72" s="239">
        <v>479864.758385</v>
      </c>
      <c r="W72" s="239">
        <v>220711.256355039</v>
      </c>
      <c r="X72" s="239">
        <v>5095.265403</v>
      </c>
      <c r="Y72" s="239">
        <v>1722363.39195697</v>
      </c>
      <c r="Z72" s="52"/>
      <c r="AA72" s="53"/>
    </row>
    <row r="73" spans="1:27">
      <c r="A73" s="647"/>
      <c r="B73" s="239" t="s">
        <v>385</v>
      </c>
      <c r="C73" s="239">
        <v>84241.218131</v>
      </c>
      <c r="D73" s="239">
        <v>27629.685179</v>
      </c>
      <c r="E73" s="640">
        <v>56611.532952</v>
      </c>
      <c r="F73" s="239">
        <v>289942.715759</v>
      </c>
      <c r="G73" s="239">
        <v>168059.106965</v>
      </c>
      <c r="H73" s="239">
        <v>25616.212275</v>
      </c>
      <c r="I73" s="239">
        <v>67832.91286</v>
      </c>
      <c r="J73" s="239">
        <v>28434.483659</v>
      </c>
      <c r="K73" s="239">
        <v>1141161.829826</v>
      </c>
      <c r="L73" s="239">
        <v>73009.209029</v>
      </c>
      <c r="M73" s="239">
        <v>66897.629062</v>
      </c>
      <c r="N73" s="239">
        <v>56819.89953</v>
      </c>
      <c r="O73" s="239">
        <v>43493.960884</v>
      </c>
      <c r="P73" s="239">
        <v>85243.729158</v>
      </c>
      <c r="Q73" s="239">
        <v>42642.279705</v>
      </c>
      <c r="R73" s="239">
        <v>773055.122458</v>
      </c>
      <c r="S73" s="239">
        <v>1336922.107046</v>
      </c>
      <c r="T73" s="239">
        <v>21439.09671</v>
      </c>
      <c r="U73" s="239">
        <v>319706.576174</v>
      </c>
      <c r="V73" s="239">
        <v>746686.362859</v>
      </c>
      <c r="W73" s="239">
        <v>249090.071303</v>
      </c>
      <c r="X73" s="239">
        <v>12065.681892</v>
      </c>
      <c r="Y73" s="239">
        <v>2864333.552654</v>
      </c>
      <c r="Z73" s="52"/>
      <c r="AA73" s="53"/>
    </row>
    <row r="74" spans="1:27">
      <c r="A74" s="647"/>
      <c r="B74" s="239" t="s">
        <v>386</v>
      </c>
      <c r="C74" s="239">
        <v>98572.723436</v>
      </c>
      <c r="D74" s="239">
        <v>5005.453067</v>
      </c>
      <c r="E74" s="640">
        <v>93567.270369</v>
      </c>
      <c r="F74" s="239">
        <v>412121.635656742</v>
      </c>
      <c r="G74" s="239">
        <v>231020.273431742</v>
      </c>
      <c r="H74" s="239">
        <v>39925.351064</v>
      </c>
      <c r="I74" s="239">
        <v>118543.816476</v>
      </c>
      <c r="J74" s="239">
        <v>22632.194685</v>
      </c>
      <c r="K74" s="239">
        <v>1453295.35765129</v>
      </c>
      <c r="L74" s="239">
        <v>91749.565191</v>
      </c>
      <c r="M74" s="239">
        <v>44230.437937</v>
      </c>
      <c r="N74" s="239">
        <v>57849.029372559</v>
      </c>
      <c r="O74" s="239">
        <v>120231.290125</v>
      </c>
      <c r="P74" s="239">
        <v>43707.774952</v>
      </c>
      <c r="Q74" s="239">
        <v>21654.301439</v>
      </c>
      <c r="R74" s="239">
        <v>1073872.95863473</v>
      </c>
      <c r="S74" s="239">
        <v>1510375.44220983</v>
      </c>
      <c r="T74" s="239">
        <v>21265.686633</v>
      </c>
      <c r="U74" s="239">
        <v>342785.939908394</v>
      </c>
      <c r="V74" s="239">
        <v>681788.042058</v>
      </c>
      <c r="W74" s="239">
        <v>464535.773610438</v>
      </c>
      <c r="X74" s="239">
        <v>11117.565667</v>
      </c>
      <c r="Y74" s="239">
        <v>3485482.72462086</v>
      </c>
      <c r="Z74" s="52"/>
      <c r="AA74" s="53"/>
    </row>
    <row r="75" spans="1:27">
      <c r="A75" s="647"/>
      <c r="B75" s="239" t="s">
        <v>387</v>
      </c>
      <c r="C75" s="239">
        <v>62571.227677</v>
      </c>
      <c r="D75" s="239">
        <v>8541.912368</v>
      </c>
      <c r="E75" s="640">
        <v>54029.315309</v>
      </c>
      <c r="F75" s="239">
        <v>211872.883131</v>
      </c>
      <c r="G75" s="239">
        <v>109603.168316</v>
      </c>
      <c r="H75" s="239">
        <v>27801.229509</v>
      </c>
      <c r="I75" s="239">
        <v>54775.453864</v>
      </c>
      <c r="J75" s="239">
        <v>19693.031442</v>
      </c>
      <c r="K75" s="239">
        <v>888447.026091013</v>
      </c>
      <c r="L75" s="239">
        <v>68742.651362</v>
      </c>
      <c r="M75" s="239">
        <v>52415.905514075</v>
      </c>
      <c r="N75" s="239">
        <v>30781.903684</v>
      </c>
      <c r="O75" s="239">
        <v>51331.327411</v>
      </c>
      <c r="P75" s="239">
        <v>23143.14392</v>
      </c>
      <c r="Q75" s="239">
        <v>17052.380355</v>
      </c>
      <c r="R75" s="239">
        <v>644979.713844938</v>
      </c>
      <c r="S75" s="239">
        <v>1526140.38827014</v>
      </c>
      <c r="T75" s="239">
        <v>19189.137068</v>
      </c>
      <c r="U75" s="239">
        <v>370974.24406572</v>
      </c>
      <c r="V75" s="239">
        <v>544865.493822</v>
      </c>
      <c r="W75" s="239">
        <v>591111.513314422</v>
      </c>
      <c r="X75" s="239">
        <v>2389.296963</v>
      </c>
      <c r="Y75" s="239">
        <v>2691420.82213216</v>
      </c>
      <c r="Z75" s="52"/>
      <c r="AA75" s="53"/>
    </row>
    <row r="76" spans="1:27">
      <c r="A76" s="647"/>
      <c r="B76" s="239" t="s">
        <v>388</v>
      </c>
      <c r="C76" s="239">
        <v>92747.064222</v>
      </c>
      <c r="D76" s="239">
        <v>8705.888247</v>
      </c>
      <c r="E76" s="640">
        <v>84041.175975</v>
      </c>
      <c r="F76" s="239">
        <v>382218.00212656</v>
      </c>
      <c r="G76" s="239">
        <v>192692.88883517</v>
      </c>
      <c r="H76" s="239">
        <v>40567.007028</v>
      </c>
      <c r="I76" s="239">
        <v>126907.39796239</v>
      </c>
      <c r="J76" s="239">
        <v>22050.708301</v>
      </c>
      <c r="K76" s="239">
        <v>1285915.78998275</v>
      </c>
      <c r="L76" s="239">
        <v>65711.349149</v>
      </c>
      <c r="M76" s="239">
        <v>60429.77579317</v>
      </c>
      <c r="N76" s="239">
        <v>146650.22726325</v>
      </c>
      <c r="O76" s="239">
        <v>95367.153929</v>
      </c>
      <c r="P76" s="239">
        <v>36201.687337</v>
      </c>
      <c r="Q76" s="239">
        <v>22078.963389</v>
      </c>
      <c r="R76" s="239">
        <v>859476.633122328</v>
      </c>
      <c r="S76" s="239">
        <v>1690917.32401473</v>
      </c>
      <c r="T76" s="239">
        <v>26598.781425</v>
      </c>
      <c r="U76" s="239">
        <v>393617.89067907</v>
      </c>
      <c r="V76" s="239">
        <v>750797.691016</v>
      </c>
      <c r="W76" s="239">
        <v>519902.960894661</v>
      </c>
      <c r="X76" s="239">
        <v>5887.980967</v>
      </c>
      <c r="Y76" s="239">
        <v>3457686.16131304</v>
      </c>
      <c r="Z76" s="52"/>
      <c r="AA76" s="53"/>
    </row>
    <row r="77" spans="1:27">
      <c r="A77" s="647"/>
      <c r="B77" s="239" t="s">
        <v>389</v>
      </c>
      <c r="C77" s="239">
        <v>76978.41402</v>
      </c>
      <c r="D77" s="239">
        <v>13918.782262</v>
      </c>
      <c r="E77" s="640">
        <v>63059.631758</v>
      </c>
      <c r="F77" s="239">
        <v>303658.39058395</v>
      </c>
      <c r="G77" s="239">
        <v>160888.72319495</v>
      </c>
      <c r="H77" s="239">
        <v>46805.459085</v>
      </c>
      <c r="I77" s="239">
        <v>72940.340882</v>
      </c>
      <c r="J77" s="239">
        <v>23023.867422</v>
      </c>
      <c r="K77" s="239">
        <v>1294535.12684784</v>
      </c>
      <c r="L77" s="239">
        <v>53927.309071</v>
      </c>
      <c r="M77" s="239">
        <v>55427.327421718</v>
      </c>
      <c r="N77" s="239">
        <v>177691.741854899</v>
      </c>
      <c r="O77" s="239">
        <v>109532.680012</v>
      </c>
      <c r="P77" s="239">
        <v>17971.14568</v>
      </c>
      <c r="Q77" s="239">
        <v>19876.81975</v>
      </c>
      <c r="R77" s="239">
        <v>860108.103058219</v>
      </c>
      <c r="S77" s="239">
        <v>1332490.2361494</v>
      </c>
      <c r="T77" s="239">
        <v>27248.371222</v>
      </c>
      <c r="U77" s="239">
        <v>257420.97947876</v>
      </c>
      <c r="V77" s="239">
        <v>678290.152447</v>
      </c>
      <c r="W77" s="239">
        <v>369530.73300164</v>
      </c>
      <c r="X77" s="239">
        <v>7046.992679</v>
      </c>
      <c r="Y77" s="239">
        <v>3014709.16028019</v>
      </c>
      <c r="Z77" s="52"/>
      <c r="AA77" s="53"/>
    </row>
    <row r="78" spans="1:27">
      <c r="A78" s="647"/>
      <c r="B78" s="239" t="s">
        <v>390</v>
      </c>
      <c r="C78" s="239">
        <v>72108.074186</v>
      </c>
      <c r="D78" s="239">
        <v>10117.577414</v>
      </c>
      <c r="E78" s="640">
        <v>61990.496772</v>
      </c>
      <c r="F78" s="239">
        <v>269113.161338884</v>
      </c>
      <c r="G78" s="239">
        <v>159407.643400247</v>
      </c>
      <c r="H78" s="239">
        <v>9393.621532</v>
      </c>
      <c r="I78" s="239">
        <v>82414.905834637</v>
      </c>
      <c r="J78" s="239">
        <v>17896.990572</v>
      </c>
      <c r="K78" s="239">
        <v>852714.244725926</v>
      </c>
      <c r="L78" s="239">
        <v>61887.590204</v>
      </c>
      <c r="M78" s="239">
        <v>71130.772107716</v>
      </c>
      <c r="N78" s="239">
        <v>158090.619159231</v>
      </c>
      <c r="O78" s="239">
        <v>34770.066494</v>
      </c>
      <c r="P78" s="239">
        <v>53427.153643</v>
      </c>
      <c r="Q78" s="239">
        <v>28158.029702</v>
      </c>
      <c r="R78" s="239">
        <v>445250.013415979</v>
      </c>
      <c r="S78" s="239">
        <v>1373321.75905329</v>
      </c>
      <c r="T78" s="239">
        <v>20608.968157</v>
      </c>
      <c r="U78" s="239">
        <v>257553.577571273</v>
      </c>
      <c r="V78" s="239">
        <v>631502.155331</v>
      </c>
      <c r="W78" s="239">
        <v>463657.057994021</v>
      </c>
      <c r="X78" s="239">
        <v>14124.735505</v>
      </c>
      <c r="Y78" s="239">
        <v>2581381.9748091</v>
      </c>
      <c r="Z78" s="52"/>
      <c r="AA78" s="53"/>
    </row>
    <row r="79" spans="1:27">
      <c r="A79" s="608">
        <v>2024</v>
      </c>
      <c r="B79" s="239" t="s">
        <v>379</v>
      </c>
      <c r="C79" s="239">
        <v>104622.935139</v>
      </c>
      <c r="D79" s="239">
        <v>12400.539743</v>
      </c>
      <c r="E79" s="640">
        <v>92222.395396</v>
      </c>
      <c r="F79" s="239">
        <v>492455.457973</v>
      </c>
      <c r="G79" s="239">
        <v>290775.992463</v>
      </c>
      <c r="H79" s="239">
        <v>75097.736725</v>
      </c>
      <c r="I79" s="239">
        <v>103499.781338</v>
      </c>
      <c r="J79" s="239">
        <v>23081.9474470001</v>
      </c>
      <c r="K79" s="239">
        <v>1653390.30085572</v>
      </c>
      <c r="L79" s="239">
        <v>59117.820905</v>
      </c>
      <c r="M79" s="239">
        <v>79835.789517</v>
      </c>
      <c r="N79" s="239">
        <v>211328.627443</v>
      </c>
      <c r="O79" s="239">
        <v>34217.34279</v>
      </c>
      <c r="P79" s="239">
        <v>64588.523312</v>
      </c>
      <c r="Q79" s="239">
        <v>28995.60807</v>
      </c>
      <c r="R79" s="239">
        <v>1175306.58881872</v>
      </c>
      <c r="S79" s="239">
        <v>1448940.43311374</v>
      </c>
      <c r="T79" s="239">
        <v>31239.374658</v>
      </c>
      <c r="U79" s="239">
        <v>178828.07786</v>
      </c>
      <c r="V79" s="239">
        <v>841271.541308</v>
      </c>
      <c r="W79" s="239">
        <v>397601.439287741</v>
      </c>
      <c r="X79" s="239">
        <v>16786.404295</v>
      </c>
      <c r="Y79" s="239">
        <v>3716195.53137646</v>
      </c>
      <c r="Z79" s="89"/>
      <c r="AA79" s="53"/>
    </row>
    <row r="80" spans="1:27">
      <c r="A80" s="608"/>
      <c r="B80" s="239" t="s">
        <v>380</v>
      </c>
      <c r="C80" s="239">
        <v>172827.51066715</v>
      </c>
      <c r="D80" s="239">
        <v>79632.28891115</v>
      </c>
      <c r="E80" s="640">
        <v>93195.221756</v>
      </c>
      <c r="F80" s="239">
        <v>629578.682407</v>
      </c>
      <c r="G80" s="239">
        <v>460039.519457</v>
      </c>
      <c r="H80" s="239">
        <v>39097.038773</v>
      </c>
      <c r="I80" s="239">
        <v>102944.780934</v>
      </c>
      <c r="J80" s="239">
        <v>27497.343243</v>
      </c>
      <c r="K80" s="239">
        <v>2122924.74216924</v>
      </c>
      <c r="L80" s="239">
        <v>89111.881768</v>
      </c>
      <c r="M80" s="239">
        <v>47794.91752</v>
      </c>
      <c r="N80" s="239">
        <v>231027.58539756</v>
      </c>
      <c r="O80" s="239">
        <v>223253.6226481</v>
      </c>
      <c r="P80" s="239">
        <v>47833.707063</v>
      </c>
      <c r="Q80" s="239">
        <v>119331.01935718</v>
      </c>
      <c r="R80" s="239">
        <v>1364572.0084154</v>
      </c>
      <c r="S80" s="239">
        <v>2510886.21833776</v>
      </c>
      <c r="T80" s="239">
        <v>34527.558764</v>
      </c>
      <c r="U80" s="239">
        <v>723091.363124193</v>
      </c>
      <c r="V80" s="239">
        <v>905074.662331</v>
      </c>
      <c r="W80" s="239">
        <v>848192.634118566</v>
      </c>
      <c r="X80" s="239">
        <v>20929.419815</v>
      </c>
      <c r="Y80" s="239">
        <v>5457146.57339615</v>
      </c>
      <c r="Z80" s="89"/>
      <c r="AA80" s="53"/>
    </row>
    <row r="81" spans="1:27">
      <c r="A81" s="608"/>
      <c r="B81" s="239" t="s">
        <v>391</v>
      </c>
      <c r="C81" s="239">
        <v>124378.849388</v>
      </c>
      <c r="D81" s="239">
        <v>21004.212988</v>
      </c>
      <c r="E81" s="640">
        <v>103374.6364</v>
      </c>
      <c r="F81" s="239">
        <v>432658.159048</v>
      </c>
      <c r="G81" s="239">
        <v>258403.311581</v>
      </c>
      <c r="H81" s="239">
        <v>35578.752067</v>
      </c>
      <c r="I81" s="239">
        <v>89046.284127</v>
      </c>
      <c r="J81" s="239">
        <v>49629.811273</v>
      </c>
      <c r="K81" s="239">
        <v>2413829.06111534</v>
      </c>
      <c r="L81" s="239">
        <v>100497.010676</v>
      </c>
      <c r="M81" s="239">
        <v>55709.208343</v>
      </c>
      <c r="N81" s="239">
        <v>279378.58617614</v>
      </c>
      <c r="O81" s="239">
        <v>98804.482041</v>
      </c>
      <c r="P81" s="239">
        <v>99818.03905179</v>
      </c>
      <c r="Q81" s="239">
        <v>230521.67535812</v>
      </c>
      <c r="R81" s="239">
        <v>1549100.05946929</v>
      </c>
      <c r="S81" s="239">
        <v>2584171.6413287</v>
      </c>
      <c r="T81" s="239">
        <v>42815.361019</v>
      </c>
      <c r="U81" s="239">
        <v>483217.85514746</v>
      </c>
      <c r="V81" s="239">
        <v>1183749.918306</v>
      </c>
      <c r="W81" s="239">
        <v>874388.506856243</v>
      </c>
      <c r="X81" s="239">
        <v>21144.333843</v>
      </c>
      <c r="Y81" s="239">
        <v>5576182.04472304</v>
      </c>
      <c r="Z81" s="89"/>
      <c r="AA81" s="53"/>
    </row>
    <row r="82" spans="1:27">
      <c r="A82" s="608"/>
      <c r="B82" s="239" t="s">
        <v>382</v>
      </c>
      <c r="C82" s="239">
        <v>230579.347095279</v>
      </c>
      <c r="D82" s="239">
        <v>104772.36799328</v>
      </c>
      <c r="E82" s="640">
        <v>125806.979101999</v>
      </c>
      <c r="F82" s="239">
        <v>318775.93147811</v>
      </c>
      <c r="G82" s="239">
        <v>251689.64119611</v>
      </c>
      <c r="H82" s="239">
        <v>8190.963765</v>
      </c>
      <c r="I82" s="239">
        <v>10238.382785</v>
      </c>
      <c r="J82" s="239">
        <v>48656.943732</v>
      </c>
      <c r="K82" s="239">
        <v>2060492.51444008</v>
      </c>
      <c r="L82" s="239">
        <v>102364.76968</v>
      </c>
      <c r="M82" s="239">
        <v>51315.110208</v>
      </c>
      <c r="N82" s="239">
        <v>293566.49349162</v>
      </c>
      <c r="O82" s="239">
        <v>79642.666921</v>
      </c>
      <c r="P82" s="239">
        <v>104588.70193594</v>
      </c>
      <c r="Q82" s="239">
        <v>96664.4180693</v>
      </c>
      <c r="R82" s="239">
        <v>1332350.35413422</v>
      </c>
      <c r="S82" s="239">
        <v>1944810.31372423</v>
      </c>
      <c r="T82" s="239">
        <v>26684.132517</v>
      </c>
      <c r="U82" s="239">
        <v>374945.1960533</v>
      </c>
      <c r="V82" s="239">
        <v>932804.135462</v>
      </c>
      <c r="W82" s="239">
        <v>610376.849691927</v>
      </c>
      <c r="X82" s="239">
        <v>24738.669112</v>
      </c>
      <c r="Y82" s="239">
        <v>4579396.7758497</v>
      </c>
      <c r="Z82" s="89"/>
      <c r="AA82" s="53"/>
    </row>
    <row r="83" spans="1:27">
      <c r="A83" s="608"/>
      <c r="B83" s="239" t="s">
        <v>383</v>
      </c>
      <c r="C83" s="239">
        <v>202831.95690908</v>
      </c>
      <c r="D83" s="239">
        <v>25753.286894</v>
      </c>
      <c r="E83" s="640">
        <v>177078.67001508</v>
      </c>
      <c r="F83" s="239">
        <v>625097.60302654</v>
      </c>
      <c r="G83" s="239">
        <v>402834.21174454</v>
      </c>
      <c r="H83" s="239">
        <v>34335.985848</v>
      </c>
      <c r="I83" s="239">
        <v>160523.939499</v>
      </c>
      <c r="J83" s="239">
        <v>27403.4659350001</v>
      </c>
      <c r="K83" s="239">
        <v>2001873.06145099</v>
      </c>
      <c r="L83" s="239">
        <v>87697.153648</v>
      </c>
      <c r="M83" s="239">
        <v>42226.904724</v>
      </c>
      <c r="N83" s="239">
        <v>202035.07085233</v>
      </c>
      <c r="O83" s="239">
        <v>67799.029507</v>
      </c>
      <c r="P83" s="239">
        <v>113405.65919596</v>
      </c>
      <c r="Q83" s="239">
        <v>137519.26946645</v>
      </c>
      <c r="R83" s="239">
        <v>1351189.97405725</v>
      </c>
      <c r="S83" s="239">
        <v>2540233.60322001</v>
      </c>
      <c r="T83" s="239">
        <v>32978.092478</v>
      </c>
      <c r="U83" s="239">
        <v>705126.256081786</v>
      </c>
      <c r="V83" s="239">
        <v>1004710.215501</v>
      </c>
      <c r="W83" s="239">
        <v>797419.039159225</v>
      </c>
      <c r="X83" s="239">
        <v>22117.022258</v>
      </c>
      <c r="Y83" s="239">
        <v>5392153.24686462</v>
      </c>
      <c r="Z83" s="89"/>
      <c r="AA83" s="53"/>
    </row>
    <row r="84" spans="1:27">
      <c r="A84" s="608"/>
      <c r="B84" s="239" t="s">
        <v>384</v>
      </c>
      <c r="C84" s="239">
        <v>293201.466897612</v>
      </c>
      <c r="D84" s="239">
        <v>206983.03048061</v>
      </c>
      <c r="E84" s="640">
        <v>86218.436417002</v>
      </c>
      <c r="F84" s="239">
        <v>441068.635691334</v>
      </c>
      <c r="G84" s="239">
        <v>310978.449520334</v>
      </c>
      <c r="H84" s="239">
        <v>35540.112225</v>
      </c>
      <c r="I84" s="239">
        <v>56980.563331</v>
      </c>
      <c r="J84" s="239">
        <v>37569.510615</v>
      </c>
      <c r="K84" s="239">
        <v>1593995.69403022</v>
      </c>
      <c r="L84" s="239">
        <v>91725.001893</v>
      </c>
      <c r="M84" s="239">
        <v>39682.509572</v>
      </c>
      <c r="N84" s="239">
        <v>68411.455357</v>
      </c>
      <c r="O84" s="239">
        <v>39205.116296</v>
      </c>
      <c r="P84" s="239">
        <v>132951.613919939</v>
      </c>
      <c r="Q84" s="239">
        <v>299640.202998744</v>
      </c>
      <c r="R84" s="239">
        <v>922379.793993533</v>
      </c>
      <c r="S84" s="239">
        <v>1650236.62107328</v>
      </c>
      <c r="T84" s="239">
        <v>40088.836638</v>
      </c>
      <c r="U84" s="239">
        <v>171435.721234</v>
      </c>
      <c r="V84" s="239">
        <v>1092816.851331</v>
      </c>
      <c r="W84" s="239">
        <v>345895.211870282</v>
      </c>
      <c r="X84" s="239">
        <v>19288.883354</v>
      </c>
      <c r="Y84" s="239">
        <v>3997791.30104644</v>
      </c>
      <c r="Z84" s="89"/>
      <c r="AA84" s="53"/>
    </row>
    <row r="85" spans="1:27">
      <c r="A85" s="608"/>
      <c r="B85" s="239" t="s">
        <v>385</v>
      </c>
      <c r="C85" s="239">
        <v>201058.922399</v>
      </c>
      <c r="D85" s="239">
        <v>18545.034037</v>
      </c>
      <c r="E85" s="640">
        <v>182513.888362</v>
      </c>
      <c r="F85" s="239">
        <v>523052.097557</v>
      </c>
      <c r="G85" s="239">
        <v>373897.338461</v>
      </c>
      <c r="H85" s="239">
        <v>23214.14935</v>
      </c>
      <c r="I85" s="239">
        <v>76698.86844</v>
      </c>
      <c r="J85" s="239">
        <v>49241.741306</v>
      </c>
      <c r="K85" s="239">
        <v>1928536.7962408</v>
      </c>
      <c r="L85" s="239">
        <v>115130.588831</v>
      </c>
      <c r="M85" s="239">
        <v>59555.294595</v>
      </c>
      <c r="N85" s="239">
        <v>217861.630713644</v>
      </c>
      <c r="O85" s="239">
        <v>51137.690047</v>
      </c>
      <c r="P85" s="239">
        <v>197106.180886</v>
      </c>
      <c r="Q85" s="239">
        <v>39685.418295</v>
      </c>
      <c r="R85" s="239">
        <v>1248059.99287316</v>
      </c>
      <c r="S85" s="239">
        <v>2301979.22160848</v>
      </c>
      <c r="T85" s="239">
        <v>41337.237555</v>
      </c>
      <c r="U85" s="239">
        <v>374813.658631863</v>
      </c>
      <c r="V85" s="239">
        <v>1234663.635631</v>
      </c>
      <c r="W85" s="239">
        <v>651164.68979062</v>
      </c>
      <c r="X85" s="239">
        <v>17242.440655</v>
      </c>
      <c r="Y85" s="239">
        <v>4971869.47846028</v>
      </c>
      <c r="Z85" s="89"/>
      <c r="AA85" s="53"/>
    </row>
    <row r="86" spans="1:27">
      <c r="A86" s="608"/>
      <c r="B86" s="239" t="s">
        <v>386</v>
      </c>
      <c r="C86" s="239">
        <v>149438.174955</v>
      </c>
      <c r="D86" s="239">
        <v>24735.62822</v>
      </c>
      <c r="E86" s="640">
        <v>124702.546735</v>
      </c>
      <c r="F86" s="239">
        <v>300326.551958</v>
      </c>
      <c r="G86" s="239">
        <v>204156.716266</v>
      </c>
      <c r="H86" s="239">
        <v>16040.179978</v>
      </c>
      <c r="I86" s="239">
        <v>50457.289242</v>
      </c>
      <c r="J86" s="239">
        <v>29672.366472</v>
      </c>
      <c r="K86" s="239">
        <v>2220304.28219491</v>
      </c>
      <c r="L86" s="239">
        <v>140852.158788</v>
      </c>
      <c r="M86" s="239">
        <v>114054.61311064</v>
      </c>
      <c r="N86" s="239">
        <v>58913.712477</v>
      </c>
      <c r="O86" s="239">
        <v>59768.736225</v>
      </c>
      <c r="P86" s="239">
        <v>141805.670061463</v>
      </c>
      <c r="Q86" s="239">
        <v>189942.810824377</v>
      </c>
      <c r="R86" s="239">
        <v>1514966.58070843</v>
      </c>
      <c r="S86" s="239">
        <v>2836129.99362897</v>
      </c>
      <c r="T86" s="239">
        <v>42818.943622</v>
      </c>
      <c r="U86" s="239">
        <v>812647.178357178</v>
      </c>
      <c r="V86" s="239">
        <v>1041930.100731</v>
      </c>
      <c r="W86" s="239">
        <v>938733.77091879</v>
      </c>
      <c r="X86" s="239">
        <v>39716.175113</v>
      </c>
      <c r="Y86" s="239">
        <v>5545915.17784988</v>
      </c>
      <c r="Z86" s="89"/>
      <c r="AA86" s="53"/>
    </row>
    <row r="87" spans="1:27">
      <c r="A87" s="608"/>
      <c r="B87" s="239" t="s">
        <v>387</v>
      </c>
      <c r="C87" s="239">
        <v>162060.613294</v>
      </c>
      <c r="D87" s="239">
        <v>29668.916959</v>
      </c>
      <c r="E87" s="640">
        <v>132391.696335</v>
      </c>
      <c r="F87" s="239">
        <v>633130.35537337</v>
      </c>
      <c r="G87" s="239">
        <v>462108.54190237</v>
      </c>
      <c r="H87" s="239">
        <v>5304.367785</v>
      </c>
      <c r="I87" s="239">
        <v>129495.586939</v>
      </c>
      <c r="J87" s="239">
        <v>36221.858747</v>
      </c>
      <c r="K87" s="239">
        <v>1509085.27381064</v>
      </c>
      <c r="L87" s="239">
        <v>135143.103002</v>
      </c>
      <c r="M87" s="239">
        <v>134085.603859444</v>
      </c>
      <c r="N87" s="239">
        <v>201091.33850953</v>
      </c>
      <c r="O87" s="239">
        <v>56671.759404</v>
      </c>
      <c r="P87" s="239">
        <v>152497.109056127</v>
      </c>
      <c r="Q87" s="239">
        <v>63234.578276</v>
      </c>
      <c r="R87" s="239">
        <v>766361.781703534</v>
      </c>
      <c r="S87" s="239">
        <v>2442162.29592142</v>
      </c>
      <c r="T87" s="239">
        <v>40728.46282</v>
      </c>
      <c r="U87" s="239">
        <v>457534.22472159</v>
      </c>
      <c r="V87" s="239">
        <v>1298198.960577</v>
      </c>
      <c r="W87" s="239">
        <v>645700.647802832</v>
      </c>
      <c r="X87" s="239">
        <v>16954.642172</v>
      </c>
      <c r="Y87" s="239">
        <v>4763393.18057143</v>
      </c>
      <c r="Z87" s="89"/>
      <c r="AA87" s="53"/>
    </row>
    <row r="88" spans="1:27">
      <c r="A88" s="608"/>
      <c r="B88" s="239" t="s">
        <v>388</v>
      </c>
      <c r="C88" s="239">
        <v>204567.442577</v>
      </c>
      <c r="D88" s="239">
        <v>36603.34917</v>
      </c>
      <c r="E88" s="640">
        <v>167964.093407</v>
      </c>
      <c r="F88" s="239">
        <v>874839.78913991</v>
      </c>
      <c r="G88" s="239">
        <v>499375.41515451</v>
      </c>
      <c r="H88" s="239">
        <v>17730.560065</v>
      </c>
      <c r="I88" s="239">
        <v>287406.1581304</v>
      </c>
      <c r="J88" s="239">
        <v>70327.65579</v>
      </c>
      <c r="K88" s="239">
        <v>1690103.36567991</v>
      </c>
      <c r="L88" s="239">
        <v>122897.578914</v>
      </c>
      <c r="M88" s="239">
        <v>65823.866244</v>
      </c>
      <c r="N88" s="239">
        <v>131023.0163101</v>
      </c>
      <c r="O88" s="239">
        <v>48586.966746</v>
      </c>
      <c r="P88" s="239">
        <v>273540.49967814</v>
      </c>
      <c r="Q88" s="239">
        <v>62361.837945</v>
      </c>
      <c r="R88" s="239">
        <v>985869.59984267</v>
      </c>
      <c r="S88" s="239">
        <v>2700859.43294445</v>
      </c>
      <c r="T88" s="239">
        <v>47103.400472</v>
      </c>
      <c r="U88" s="239">
        <v>553371.90838927</v>
      </c>
      <c r="V88" s="239">
        <v>1534606.762355</v>
      </c>
      <c r="W88" s="239">
        <v>565777.36172818</v>
      </c>
      <c r="X88" s="239">
        <v>13698.384821</v>
      </c>
      <c r="Y88" s="239">
        <v>5484068.41516227</v>
      </c>
      <c r="Z88" s="89"/>
      <c r="AA88" s="53"/>
    </row>
    <row r="89" spans="1:27">
      <c r="A89" s="608"/>
      <c r="B89" s="239" t="s">
        <v>389</v>
      </c>
      <c r="C89" s="239">
        <v>165398.480182</v>
      </c>
      <c r="D89" s="239">
        <v>25350.578375</v>
      </c>
      <c r="E89" s="640">
        <v>140047.901807</v>
      </c>
      <c r="F89" s="239">
        <v>488706.70748336</v>
      </c>
      <c r="G89" s="239">
        <v>303244.09077736</v>
      </c>
      <c r="H89" s="239">
        <v>8954.139948</v>
      </c>
      <c r="I89" s="239">
        <v>109910.68506</v>
      </c>
      <c r="J89" s="239">
        <v>66597.791698</v>
      </c>
      <c r="K89" s="239">
        <v>2050366.27333826</v>
      </c>
      <c r="L89" s="239">
        <v>129624.407077</v>
      </c>
      <c r="M89" s="239">
        <v>247902.58645216</v>
      </c>
      <c r="N89" s="239">
        <v>196586.82363899</v>
      </c>
      <c r="O89" s="239">
        <v>112110.30196153</v>
      </c>
      <c r="P89" s="239">
        <v>184762.92908795</v>
      </c>
      <c r="Q89" s="239">
        <v>87723.39701239</v>
      </c>
      <c r="R89" s="239">
        <v>1091655.82810824</v>
      </c>
      <c r="S89" s="239">
        <v>2952787.39763403</v>
      </c>
      <c r="T89" s="239">
        <v>36979.741718</v>
      </c>
      <c r="U89" s="239">
        <v>964312.39407103</v>
      </c>
      <c r="V89" s="239">
        <v>1408556.626732</v>
      </c>
      <c r="W89" s="239">
        <v>542938.635113</v>
      </c>
      <c r="X89" s="239">
        <v>10703.586295</v>
      </c>
      <c r="Y89" s="239">
        <v>5667962.44493265</v>
      </c>
      <c r="Z89" s="89"/>
      <c r="AA89" s="53"/>
    </row>
    <row r="90" spans="1:27">
      <c r="A90" s="608"/>
      <c r="B90" s="239" t="s">
        <v>390</v>
      </c>
      <c r="C90" s="239">
        <v>144992.317057</v>
      </c>
      <c r="D90" s="239">
        <v>15146.876058</v>
      </c>
      <c r="E90" s="640">
        <v>129845.440999</v>
      </c>
      <c r="F90" s="239">
        <v>510219.45900736</v>
      </c>
      <c r="G90" s="239">
        <v>252918.37364948</v>
      </c>
      <c r="H90" s="239">
        <v>16299.406822</v>
      </c>
      <c r="I90" s="239">
        <v>181698.96052588</v>
      </c>
      <c r="J90" s="239">
        <v>59302.7180099999</v>
      </c>
      <c r="K90" s="239">
        <v>1555210.67965056</v>
      </c>
      <c r="L90" s="239">
        <v>90140.221278</v>
      </c>
      <c r="M90" s="239">
        <v>96039.72217461</v>
      </c>
      <c r="N90" s="239">
        <v>217920.8411435</v>
      </c>
      <c r="O90" s="239">
        <v>72812.39158971</v>
      </c>
      <c r="P90" s="239">
        <v>142980.83931053</v>
      </c>
      <c r="Q90" s="239">
        <v>111041.63400876</v>
      </c>
      <c r="R90" s="239">
        <v>824275.03014545</v>
      </c>
      <c r="S90" s="239">
        <v>3216397.58861095</v>
      </c>
      <c r="T90" s="239">
        <v>40854.874508</v>
      </c>
      <c r="U90" s="239">
        <v>378699.711423</v>
      </c>
      <c r="V90" s="239">
        <v>1668938.901383</v>
      </c>
      <c r="W90" s="239">
        <v>1127904.10129695</v>
      </c>
      <c r="X90" s="239">
        <v>11654.628095</v>
      </c>
      <c r="Y90" s="239">
        <v>5438474.67242087</v>
      </c>
      <c r="Z90" s="89"/>
      <c r="AA90" s="53"/>
    </row>
    <row r="91" spans="1:27">
      <c r="A91" s="608">
        <v>2025</v>
      </c>
      <c r="B91" s="185" t="s">
        <v>379</v>
      </c>
      <c r="C91" s="185">
        <v>267364.83404329</v>
      </c>
      <c r="D91" s="185">
        <v>18731.6954</v>
      </c>
      <c r="E91" s="641">
        <v>248633.13864329</v>
      </c>
      <c r="F91" s="185">
        <v>887869.57386949</v>
      </c>
      <c r="G91" s="185">
        <v>513875.66122742</v>
      </c>
      <c r="H91" s="185">
        <v>43428.89187</v>
      </c>
      <c r="I91" s="185">
        <v>250988.28330407</v>
      </c>
      <c r="J91" s="185">
        <v>79576.7374679999</v>
      </c>
      <c r="K91" s="185">
        <v>988539.08380107</v>
      </c>
      <c r="L91" s="185">
        <v>95699.409958</v>
      </c>
      <c r="M91" s="185">
        <v>87688.11656502</v>
      </c>
      <c r="N91" s="185">
        <v>123032.11854707</v>
      </c>
      <c r="O91" s="185">
        <v>48418.013307</v>
      </c>
      <c r="P91" s="185">
        <v>54562.745385</v>
      </c>
      <c r="Q91" s="185">
        <v>58064.056355</v>
      </c>
      <c r="R91" s="185">
        <v>521074.62368398</v>
      </c>
      <c r="S91" s="185">
        <v>3313131.40710285</v>
      </c>
      <c r="T91" s="185">
        <v>38817.35594</v>
      </c>
      <c r="U91" s="185">
        <v>755149.9749866</v>
      </c>
      <c r="V91" s="185">
        <v>1697286.034742</v>
      </c>
      <c r="W91" s="185">
        <v>821878.04143425</v>
      </c>
      <c r="X91" s="185">
        <v>36823.581738</v>
      </c>
      <c r="Y91" s="185">
        <v>5493728.4805547</v>
      </c>
      <c r="Z91" s="89"/>
      <c r="AA91" s="53"/>
    </row>
    <row r="92" spans="1:27">
      <c r="A92" s="608"/>
      <c r="B92" s="185" t="s">
        <v>380</v>
      </c>
      <c r="C92" s="185">
        <v>297728.88795562</v>
      </c>
      <c r="D92" s="185">
        <v>36562.734054</v>
      </c>
      <c r="E92" s="641">
        <v>261166.15390162</v>
      </c>
      <c r="F92" s="185">
        <v>750352.03986179</v>
      </c>
      <c r="G92" s="185">
        <v>476941.77786528</v>
      </c>
      <c r="H92" s="185">
        <v>25040.734263</v>
      </c>
      <c r="I92" s="185">
        <v>186770.12005851</v>
      </c>
      <c r="J92" s="185">
        <v>61599.4076749999</v>
      </c>
      <c r="K92" s="185">
        <v>1140709.67410446</v>
      </c>
      <c r="L92" s="185">
        <v>71116.006116</v>
      </c>
      <c r="M92" s="185">
        <v>119943.15127439</v>
      </c>
      <c r="N92" s="185">
        <v>301921.35245988</v>
      </c>
      <c r="O92" s="185">
        <v>39191.394948</v>
      </c>
      <c r="P92" s="185">
        <v>91528.0363706</v>
      </c>
      <c r="Q92" s="185">
        <v>139158.95876911</v>
      </c>
      <c r="R92" s="185">
        <v>377850.77416648</v>
      </c>
      <c r="S92" s="185">
        <v>2917571.97278467</v>
      </c>
      <c r="T92" s="185">
        <v>41778.346854</v>
      </c>
      <c r="U92" s="185">
        <v>592529.19394255</v>
      </c>
      <c r="V92" s="185">
        <v>1399386.869278</v>
      </c>
      <c r="W92" s="185">
        <v>883877.56271012</v>
      </c>
      <c r="X92" s="185">
        <v>27828.567704</v>
      </c>
      <c r="Y92" s="185">
        <v>5134191.14241054</v>
      </c>
      <c r="Z92" s="89"/>
      <c r="AA92" s="53"/>
    </row>
    <row r="93" spans="1:27">
      <c r="A93" s="608"/>
      <c r="B93" s="185" t="s">
        <v>391</v>
      </c>
      <c r="C93" s="185">
        <v>436611.34916044</v>
      </c>
      <c r="D93" s="185">
        <v>145067.780382</v>
      </c>
      <c r="E93" s="641">
        <v>291543.56877844</v>
      </c>
      <c r="F93" s="185">
        <v>653887.49021594</v>
      </c>
      <c r="G93" s="185">
        <v>430756.07673222</v>
      </c>
      <c r="H93" s="185">
        <v>18552.4266</v>
      </c>
      <c r="I93" s="185">
        <v>124401.69554872</v>
      </c>
      <c r="J93" s="185">
        <v>80177.291335</v>
      </c>
      <c r="K93" s="185">
        <v>1131655.775382</v>
      </c>
      <c r="L93" s="185">
        <v>110405.711422</v>
      </c>
      <c r="M93" s="185">
        <v>76257.917491</v>
      </c>
      <c r="N93" s="185">
        <v>384873.602355</v>
      </c>
      <c r="O93" s="185">
        <v>40759.597597</v>
      </c>
      <c r="P93" s="185">
        <v>58160.475265</v>
      </c>
      <c r="Q93" s="185">
        <v>183985.814772</v>
      </c>
      <c r="R93" s="185">
        <v>277212.65648</v>
      </c>
      <c r="S93" s="185">
        <v>2542139.361329</v>
      </c>
      <c r="T93" s="185">
        <v>36632.931961</v>
      </c>
      <c r="U93" s="185">
        <v>368649.02102</v>
      </c>
      <c r="V93" s="185">
        <v>1561256.030325</v>
      </c>
      <c r="W93" s="185">
        <v>575601.378023</v>
      </c>
      <c r="X93" s="185">
        <v>33961.145991</v>
      </c>
      <c r="Y93" s="185">
        <v>4798255.12207838</v>
      </c>
      <c r="Z93" s="89"/>
      <c r="AA93" s="53"/>
    </row>
    <row r="94" spans="6:9">
      <c r="F94" s="626"/>
      <c r="G94" s="633"/>
      <c r="H94" s="633"/>
      <c r="I94" s="633"/>
    </row>
    <row r="95" spans="6:9">
      <c r="F95" s="626"/>
      <c r="G95" s="633"/>
      <c r="H95" s="633"/>
      <c r="I95" s="633"/>
    </row>
    <row r="96" spans="6:9">
      <c r="F96" s="654"/>
      <c r="G96" s="635"/>
      <c r="H96" s="635"/>
      <c r="I96" s="635"/>
    </row>
    <row r="97" spans="3:9">
      <c r="C97" s="632"/>
      <c r="D97" s="632"/>
      <c r="F97" s="654"/>
      <c r="G97" s="635"/>
      <c r="H97" s="635"/>
      <c r="I97" s="635"/>
    </row>
    <row r="98" spans="6:9">
      <c r="F98" s="654"/>
      <c r="G98" s="635"/>
      <c r="H98" s="635"/>
      <c r="I98" s="635"/>
    </row>
  </sheetData>
  <mergeCells count="5">
    <mergeCell ref="A1:Y1"/>
    <mergeCell ref="C2:E2"/>
    <mergeCell ref="F2:J2"/>
    <mergeCell ref="K2:Q2"/>
    <mergeCell ref="S2:V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5"/>
  <sheetViews>
    <sheetView zoomScale="94" zoomScaleNormal="94" workbookViewId="0">
      <selection activeCell="I14" sqref="I14"/>
    </sheetView>
  </sheetViews>
  <sheetFormatPr defaultColWidth="8.81481481481481" defaultRowHeight="14.4"/>
  <cols>
    <col min="1" max="1" width="7" style="135" customWidth="1"/>
    <col min="2" max="2" width="10.7222222222222" style="135" customWidth="1"/>
    <col min="3" max="3" width="18.8148148148148" style="282" customWidth="1"/>
    <col min="4" max="4" width="16.4537037037037" style="135" customWidth="1"/>
    <col min="5" max="5" width="16.4537037037037" style="146" customWidth="1"/>
    <col min="6" max="6" width="16.4537037037037" style="282" customWidth="1"/>
    <col min="7" max="10" width="16.4537037037037" style="135" customWidth="1"/>
    <col min="11" max="11" width="19.4537037037037" style="282" customWidth="1"/>
    <col min="12" max="18" width="16.4537037037037" style="135" customWidth="1"/>
    <col min="19" max="19" width="18.8148148148148" style="282" customWidth="1"/>
    <col min="20" max="24" width="16.4537037037037" style="135" customWidth="1"/>
    <col min="25" max="25" width="20.1759259259259" style="135" customWidth="1"/>
    <col min="26" max="26" width="17.8148148148148" style="135" customWidth="1"/>
    <col min="27" max="27" width="15" customWidth="1"/>
    <col min="28" max="28" width="11.4537037037037" customWidth="1"/>
  </cols>
  <sheetData>
    <row r="1" spans="1:25">
      <c r="A1" s="600" t="s">
        <v>442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0"/>
    </row>
    <row r="2" spans="1:25">
      <c r="A2" s="240"/>
      <c r="B2" s="601"/>
      <c r="C2" s="602" t="s">
        <v>431</v>
      </c>
      <c r="D2" s="602"/>
      <c r="E2" s="602"/>
      <c r="F2" s="602" t="s">
        <v>432</v>
      </c>
      <c r="G2" s="602"/>
      <c r="H2" s="602"/>
      <c r="I2" s="602"/>
      <c r="J2" s="603"/>
      <c r="K2" s="602" t="s">
        <v>433</v>
      </c>
      <c r="L2" s="602"/>
      <c r="M2" s="602"/>
      <c r="N2" s="602"/>
      <c r="O2" s="602"/>
      <c r="P2" s="602"/>
      <c r="Q2" s="602"/>
      <c r="R2" s="602"/>
      <c r="S2" s="602" t="s">
        <v>434</v>
      </c>
      <c r="T2" s="602"/>
      <c r="U2" s="602"/>
      <c r="V2" s="602"/>
      <c r="W2" s="602"/>
      <c r="X2" s="623" t="s">
        <v>435</v>
      </c>
      <c r="Y2" s="625" t="s">
        <v>425</v>
      </c>
    </row>
    <row r="3" spans="1:26">
      <c r="A3" s="240"/>
      <c r="B3" s="603"/>
      <c r="C3" s="603" t="s">
        <v>425</v>
      </c>
      <c r="D3" s="603" t="s">
        <v>436</v>
      </c>
      <c r="E3" s="603" t="s">
        <v>437</v>
      </c>
      <c r="F3" s="603" t="s">
        <v>425</v>
      </c>
      <c r="G3" s="603" t="s">
        <v>438</v>
      </c>
      <c r="H3" s="603" t="s">
        <v>186</v>
      </c>
      <c r="I3" s="603" t="s">
        <v>178</v>
      </c>
      <c r="J3" s="603" t="s">
        <v>437</v>
      </c>
      <c r="K3" s="603" t="s">
        <v>425</v>
      </c>
      <c r="L3" s="603" t="s">
        <v>311</v>
      </c>
      <c r="M3" s="603" t="s">
        <v>439</v>
      </c>
      <c r="N3" s="603" t="s">
        <v>162</v>
      </c>
      <c r="O3" s="603" t="s">
        <v>176</v>
      </c>
      <c r="P3" s="603" t="s">
        <v>168</v>
      </c>
      <c r="Q3" s="603" t="s">
        <v>171</v>
      </c>
      <c r="R3" s="603" t="s">
        <v>437</v>
      </c>
      <c r="S3" s="603" t="s">
        <v>425</v>
      </c>
      <c r="T3" s="603" t="s">
        <v>441</v>
      </c>
      <c r="U3" s="603" t="s">
        <v>157</v>
      </c>
      <c r="V3" s="240" t="s">
        <v>159</v>
      </c>
      <c r="W3" s="240" t="s">
        <v>437</v>
      </c>
      <c r="X3" s="231"/>
      <c r="Y3" s="240"/>
      <c r="Z3" s="146"/>
    </row>
    <row r="4" ht="15.6" spans="1:27">
      <c r="A4" s="240">
        <v>2020</v>
      </c>
      <c r="B4" s="343" t="s">
        <v>368</v>
      </c>
      <c r="C4" s="604">
        <v>2374887.86501653</v>
      </c>
      <c r="D4" s="604">
        <v>841332.503064716</v>
      </c>
      <c r="E4" s="604">
        <v>1533555.36195181</v>
      </c>
      <c r="F4" s="604">
        <v>850175.86742181</v>
      </c>
      <c r="G4" s="604">
        <v>382197.7374368</v>
      </c>
      <c r="H4" s="604">
        <v>287047.38127052</v>
      </c>
      <c r="I4" s="604">
        <v>53873.22074622</v>
      </c>
      <c r="J4" s="604">
        <v>127057.52796827</v>
      </c>
      <c r="K4" s="604">
        <v>4868971.67131997</v>
      </c>
      <c r="L4" s="604">
        <v>116892.18503157</v>
      </c>
      <c r="M4" s="604">
        <v>310162.230131095</v>
      </c>
      <c r="N4" s="604">
        <v>1072294.56642487</v>
      </c>
      <c r="O4" s="604">
        <v>440198.56906246</v>
      </c>
      <c r="P4" s="604">
        <v>565612.78356893</v>
      </c>
      <c r="Q4" s="604">
        <v>1361963.97495592</v>
      </c>
      <c r="R4" s="604">
        <v>1001847.36214513</v>
      </c>
      <c r="S4" s="604">
        <v>4307663.29150156</v>
      </c>
      <c r="T4" s="604">
        <v>100540.78569555</v>
      </c>
      <c r="U4" s="604">
        <v>1880450.34362353</v>
      </c>
      <c r="V4" s="604">
        <v>633481.581818185</v>
      </c>
      <c r="W4" s="604">
        <v>1693190.58036429</v>
      </c>
      <c r="X4" s="604">
        <v>120985.748587608</v>
      </c>
      <c r="Y4" s="604">
        <v>12522684.4438475</v>
      </c>
      <c r="Z4" s="223"/>
      <c r="AA4" s="38"/>
    </row>
    <row r="5" s="135" customFormat="1" ht="15.6" spans="1:27">
      <c r="A5" s="240">
        <v>2021</v>
      </c>
      <c r="B5" s="605" t="s">
        <v>368</v>
      </c>
      <c r="C5" s="606">
        <v>2413388.74710437</v>
      </c>
      <c r="D5" s="606">
        <v>1241507.25531829</v>
      </c>
      <c r="E5" s="606">
        <v>1171881.49178607</v>
      </c>
      <c r="F5" s="607">
        <v>2470454.90075725</v>
      </c>
      <c r="G5" s="606">
        <v>800345.218104024</v>
      </c>
      <c r="H5" s="606">
        <v>857940.637497095</v>
      </c>
      <c r="I5" s="606">
        <v>496797.453803287</v>
      </c>
      <c r="J5" s="606">
        <v>315371.591352847</v>
      </c>
      <c r="K5" s="607">
        <v>7475598.96546516</v>
      </c>
      <c r="L5" s="606">
        <v>330703.377614396</v>
      </c>
      <c r="M5" s="606">
        <v>448579.856971986</v>
      </c>
      <c r="N5" s="606">
        <v>1135125.8368283</v>
      </c>
      <c r="O5" s="606">
        <v>759172.563618098</v>
      </c>
      <c r="P5" s="606">
        <v>1190544.0751515</v>
      </c>
      <c r="Q5" s="606">
        <v>2232077.65017264</v>
      </c>
      <c r="R5" s="606">
        <v>1379395.60510824</v>
      </c>
      <c r="S5" s="607">
        <v>6386957.61865274</v>
      </c>
      <c r="T5" s="606">
        <v>153899.99406924</v>
      </c>
      <c r="U5" s="606">
        <v>3095942.65565283</v>
      </c>
      <c r="V5" s="606">
        <v>739002.74866254</v>
      </c>
      <c r="W5" s="606">
        <v>2398112.22026813</v>
      </c>
      <c r="X5" s="607">
        <v>161388.481792907</v>
      </c>
      <c r="Y5" s="606">
        <v>18907788.7137724</v>
      </c>
      <c r="Z5" s="626"/>
      <c r="AA5" s="223"/>
    </row>
    <row r="6" s="135" customFormat="1" ht="15.6" spans="1:27">
      <c r="A6" s="240">
        <v>2022</v>
      </c>
      <c r="B6" s="605" t="s">
        <v>368</v>
      </c>
      <c r="C6" s="606">
        <v>2659045.44357616</v>
      </c>
      <c r="D6" s="606">
        <v>1746975.7260418</v>
      </c>
      <c r="E6" s="606">
        <v>912069.717534355</v>
      </c>
      <c r="F6" s="606">
        <v>3965042.78382522</v>
      </c>
      <c r="G6" s="606">
        <v>1824760.47948284</v>
      </c>
      <c r="H6" s="606">
        <v>801290.552832101</v>
      </c>
      <c r="I6" s="606">
        <v>768913.731311992</v>
      </c>
      <c r="J6" s="606">
        <v>570078.020198286</v>
      </c>
      <c r="K6" s="606">
        <v>11742964.5044528</v>
      </c>
      <c r="L6" s="606">
        <v>340715.939414045</v>
      </c>
      <c r="M6" s="606">
        <v>533309.368213723</v>
      </c>
      <c r="N6" s="606">
        <v>2570011.02462261</v>
      </c>
      <c r="O6" s="606">
        <v>1113387.77325172</v>
      </c>
      <c r="P6" s="606">
        <v>1544780.18232108</v>
      </c>
      <c r="Q6" s="606">
        <v>3204031.12469115</v>
      </c>
      <c r="R6" s="606">
        <v>2436729.0919385</v>
      </c>
      <c r="S6" s="606">
        <v>8316454.60297492</v>
      </c>
      <c r="T6" s="606">
        <v>329824.633819227</v>
      </c>
      <c r="U6" s="606">
        <v>3385960.31917665</v>
      </c>
      <c r="V6" s="606">
        <v>352432.044560364</v>
      </c>
      <c r="W6" s="606">
        <v>4248237.60541868</v>
      </c>
      <c r="X6" s="606">
        <v>113247.527802564</v>
      </c>
      <c r="Y6" s="606">
        <v>26796754.8626317</v>
      </c>
      <c r="Z6" s="626"/>
      <c r="AA6" s="223"/>
    </row>
    <row r="7" s="135" customFormat="1" ht="15.6" spans="1:28">
      <c r="A7" s="240">
        <v>2023</v>
      </c>
      <c r="B7" s="605" t="s">
        <v>368</v>
      </c>
      <c r="C7" s="129">
        <v>3713862.24784249</v>
      </c>
      <c r="D7" s="151">
        <v>2237210.03492759</v>
      </c>
      <c r="E7" s="151">
        <v>1476652.2129149</v>
      </c>
      <c r="F7" s="129">
        <v>6162404.98246379</v>
      </c>
      <c r="G7" s="151">
        <v>2609159.71751657</v>
      </c>
      <c r="H7" s="151">
        <v>2136509.97623998</v>
      </c>
      <c r="I7" s="151">
        <v>461501.160314261</v>
      </c>
      <c r="J7" s="151">
        <v>955234.128392968</v>
      </c>
      <c r="K7" s="129">
        <v>16329714.1720006</v>
      </c>
      <c r="L7" s="151">
        <v>526071.960172871</v>
      </c>
      <c r="M7" s="151">
        <v>1409098.8459189</v>
      </c>
      <c r="N7" s="606">
        <v>4516290.73202448</v>
      </c>
      <c r="O7" s="606">
        <v>1394190.04422664</v>
      </c>
      <c r="P7" s="606">
        <v>2350874.74646075</v>
      </c>
      <c r="Q7" s="606">
        <v>3386459.83178939</v>
      </c>
      <c r="R7" s="606">
        <v>2746728.01140753</v>
      </c>
      <c r="S7" s="606">
        <v>9589178.8548645</v>
      </c>
      <c r="T7" s="606">
        <v>282284.02236042</v>
      </c>
      <c r="U7" s="606">
        <v>3007637.02172222</v>
      </c>
      <c r="V7" s="606">
        <v>891376.026972869</v>
      </c>
      <c r="W7" s="606">
        <v>5407881.78380899</v>
      </c>
      <c r="X7" s="606">
        <v>167232.185514072</v>
      </c>
      <c r="Y7" s="606">
        <v>35962392.4426854</v>
      </c>
      <c r="Z7" s="626"/>
      <c r="AA7" s="223"/>
      <c r="AB7" s="223"/>
    </row>
    <row r="8" s="282" customFormat="1" ht="15.6" spans="1:27">
      <c r="A8" s="240">
        <v>2024</v>
      </c>
      <c r="B8" s="343" t="s">
        <v>368</v>
      </c>
      <c r="C8" s="129">
        <v>8740172.34906438</v>
      </c>
      <c r="D8" s="129">
        <v>5283740.35087683</v>
      </c>
      <c r="E8" s="129">
        <v>3456431.99818754</v>
      </c>
      <c r="F8" s="129">
        <v>13433041.6749556</v>
      </c>
      <c r="G8" s="129">
        <v>5518721.90689581</v>
      </c>
      <c r="H8" s="129">
        <v>4227151.61310127</v>
      </c>
      <c r="I8" s="129">
        <v>1302144.70016524</v>
      </c>
      <c r="J8" s="129">
        <v>2385023.45479333</v>
      </c>
      <c r="K8" s="129">
        <v>34140039.3033346</v>
      </c>
      <c r="L8" s="129">
        <v>1683636.27349437</v>
      </c>
      <c r="M8" s="129">
        <v>1858487.48696327</v>
      </c>
      <c r="N8" s="129">
        <v>6931106.84350233</v>
      </c>
      <c r="O8" s="129">
        <v>3988978.49666855</v>
      </c>
      <c r="P8" s="129">
        <v>6956209.40638175</v>
      </c>
      <c r="Q8" s="129">
        <v>8129095.81145738</v>
      </c>
      <c r="R8" s="129">
        <v>4592524.98486695</v>
      </c>
      <c r="S8" s="129">
        <v>20630793.3407911</v>
      </c>
      <c r="T8" s="129">
        <v>825414.1187862</v>
      </c>
      <c r="U8" s="129">
        <v>5787524.85869462</v>
      </c>
      <c r="V8" s="129">
        <v>2995864.08414558</v>
      </c>
      <c r="W8" s="129">
        <v>11021990.2791647</v>
      </c>
      <c r="X8" s="129">
        <v>498052.286631003</v>
      </c>
      <c r="Y8" s="129">
        <v>77442098.9547767</v>
      </c>
      <c r="Z8" s="627"/>
      <c r="AA8" s="223"/>
    </row>
    <row r="9" s="282" customFormat="1" ht="15.6" spans="1:27">
      <c r="A9" s="240">
        <v>2025</v>
      </c>
      <c r="B9" s="354" t="s">
        <v>374</v>
      </c>
      <c r="C9" s="130">
        <v>1854484.7638819</v>
      </c>
      <c r="D9" s="130">
        <v>1067826.26227274</v>
      </c>
      <c r="E9" s="130">
        <v>786658.501609158</v>
      </c>
      <c r="F9" s="130">
        <v>3329454.52969237</v>
      </c>
      <c r="G9" s="130">
        <v>1543573.19907694</v>
      </c>
      <c r="H9" s="130">
        <v>813435.57244994</v>
      </c>
      <c r="I9" s="130">
        <v>369081.55611269</v>
      </c>
      <c r="J9" s="130">
        <v>603364.2020528</v>
      </c>
      <c r="K9" s="130">
        <v>8642861.99030304</v>
      </c>
      <c r="L9" s="130">
        <v>482482.80233613</v>
      </c>
      <c r="M9" s="130">
        <v>276388.69553335</v>
      </c>
      <c r="N9" s="130">
        <v>2258412.50325373</v>
      </c>
      <c r="O9" s="130">
        <v>1243157.79753705</v>
      </c>
      <c r="P9" s="130">
        <v>1443227.94198975</v>
      </c>
      <c r="Q9" s="130">
        <v>1440016.63108286</v>
      </c>
      <c r="R9" s="130">
        <v>1499175.61857017</v>
      </c>
      <c r="S9" s="130">
        <v>6753820.10059241</v>
      </c>
      <c r="T9" s="130">
        <v>84682.82669879</v>
      </c>
      <c r="U9" s="130">
        <v>2841617.31438445</v>
      </c>
      <c r="V9" s="130">
        <v>300548.55662497</v>
      </c>
      <c r="W9" s="130">
        <v>3526971.4028842</v>
      </c>
      <c r="X9" s="130">
        <v>17859.36816992</v>
      </c>
      <c r="Y9" s="185">
        <v>20598480.7526396</v>
      </c>
      <c r="Z9" s="626"/>
      <c r="AA9" s="223"/>
    </row>
    <row r="10" ht="15.6" spans="1:27">
      <c r="A10" s="240">
        <v>2020</v>
      </c>
      <c r="B10" s="608" t="s">
        <v>375</v>
      </c>
      <c r="C10" s="606">
        <v>979804.73867374</v>
      </c>
      <c r="D10" s="606">
        <v>298043.25143362</v>
      </c>
      <c r="E10" s="604">
        <v>681761.48724012</v>
      </c>
      <c r="F10" s="606">
        <v>217247.2984608</v>
      </c>
      <c r="G10" s="606">
        <v>102399.92931125</v>
      </c>
      <c r="H10" s="606">
        <v>29039.00334695</v>
      </c>
      <c r="I10" s="606">
        <v>27521.8418882</v>
      </c>
      <c r="J10" s="604">
        <v>58286.5239144</v>
      </c>
      <c r="K10" s="606">
        <v>1575660.57351894</v>
      </c>
      <c r="L10" s="606">
        <v>37263.56068998</v>
      </c>
      <c r="M10" s="606">
        <v>147679.90184773</v>
      </c>
      <c r="N10" s="606">
        <v>396931.77060321</v>
      </c>
      <c r="O10" s="606">
        <v>162307.46393178</v>
      </c>
      <c r="P10" s="606">
        <v>159574.40804</v>
      </c>
      <c r="Q10" s="606">
        <v>409371.41640722</v>
      </c>
      <c r="R10" s="606">
        <v>262532.051999021</v>
      </c>
      <c r="S10" s="606">
        <v>1291867.15101823</v>
      </c>
      <c r="T10" s="606">
        <v>31212.63220434</v>
      </c>
      <c r="U10" s="606">
        <v>637258.03911879</v>
      </c>
      <c r="V10" s="606">
        <v>127978.95576591</v>
      </c>
      <c r="W10" s="604">
        <v>495417.52392919</v>
      </c>
      <c r="X10" s="606">
        <v>45190.17572712</v>
      </c>
      <c r="Y10" s="604">
        <v>4109769.93739883</v>
      </c>
      <c r="Z10" s="626"/>
      <c r="AA10" s="223"/>
    </row>
    <row r="11" ht="15.6" spans="1:27">
      <c r="A11" s="240"/>
      <c r="B11" s="608" t="s">
        <v>376</v>
      </c>
      <c r="C11" s="607">
        <v>401388.5840976</v>
      </c>
      <c r="D11" s="606">
        <v>149034.17401797</v>
      </c>
      <c r="E11" s="604">
        <v>252354.41007963</v>
      </c>
      <c r="F11" s="607">
        <v>105771.67579665</v>
      </c>
      <c r="G11" s="606">
        <v>61160.40011615</v>
      </c>
      <c r="H11" s="606">
        <v>26561.20444018</v>
      </c>
      <c r="I11" s="606">
        <v>6546.735385</v>
      </c>
      <c r="J11" s="604">
        <v>11503.33585532</v>
      </c>
      <c r="K11" s="607">
        <v>978657.89128711</v>
      </c>
      <c r="L11" s="606">
        <v>37236.70844927</v>
      </c>
      <c r="M11" s="606">
        <v>29323.10442553</v>
      </c>
      <c r="N11" s="606">
        <v>245818.60423818</v>
      </c>
      <c r="O11" s="606">
        <v>62431.3878297</v>
      </c>
      <c r="P11" s="606">
        <v>120249.44874644</v>
      </c>
      <c r="Q11" s="606">
        <v>310747.30770131</v>
      </c>
      <c r="R11" s="606">
        <v>172851.32989668</v>
      </c>
      <c r="S11" s="607">
        <v>737404.19122227</v>
      </c>
      <c r="T11" s="606">
        <v>35813.48443986</v>
      </c>
      <c r="U11" s="606">
        <v>195550.87735245</v>
      </c>
      <c r="V11" s="606">
        <v>223622.50228956</v>
      </c>
      <c r="W11" s="604">
        <v>282417.3271404</v>
      </c>
      <c r="X11" s="607">
        <v>1730.81228743</v>
      </c>
      <c r="Y11" s="604">
        <v>2224953.15469106</v>
      </c>
      <c r="Z11" s="626"/>
      <c r="AA11" s="223"/>
    </row>
    <row r="12" ht="15.6" spans="1:27">
      <c r="A12" s="240"/>
      <c r="B12" s="608" t="s">
        <v>377</v>
      </c>
      <c r="C12" s="607">
        <v>442568.22866292</v>
      </c>
      <c r="D12" s="606">
        <v>188894.0892623</v>
      </c>
      <c r="E12" s="604">
        <v>253674.13940062</v>
      </c>
      <c r="F12" s="607">
        <v>150784.04285479</v>
      </c>
      <c r="G12" s="606">
        <v>48275.91907777</v>
      </c>
      <c r="H12" s="606">
        <v>95800.05304039</v>
      </c>
      <c r="I12" s="607">
        <v>35.8742667</v>
      </c>
      <c r="J12" s="604">
        <v>6672.19646993003</v>
      </c>
      <c r="K12" s="607">
        <v>1243265.65355088</v>
      </c>
      <c r="L12" s="606">
        <v>14506.87585732</v>
      </c>
      <c r="M12" s="606">
        <v>84772.33739968</v>
      </c>
      <c r="N12" s="606">
        <v>235047.21543406</v>
      </c>
      <c r="O12" s="606">
        <v>118409.07119024</v>
      </c>
      <c r="P12" s="606">
        <v>142221.83616819</v>
      </c>
      <c r="Q12" s="606">
        <v>328468.49473198</v>
      </c>
      <c r="R12" s="606">
        <v>319839.82276941</v>
      </c>
      <c r="S12" s="607">
        <v>1119517.12022971</v>
      </c>
      <c r="T12" s="606">
        <v>18830.78459255</v>
      </c>
      <c r="U12" s="606">
        <v>500626.22523261</v>
      </c>
      <c r="V12" s="606">
        <v>125095.77799365</v>
      </c>
      <c r="W12" s="604">
        <v>474964.3324109</v>
      </c>
      <c r="X12" s="607">
        <v>37329.28941043</v>
      </c>
      <c r="Y12" s="604">
        <v>2993464.33470873</v>
      </c>
      <c r="Z12" s="626"/>
      <c r="AA12" s="223"/>
    </row>
    <row r="13" s="598" customFormat="1" ht="15.6" spans="1:27">
      <c r="A13" s="339"/>
      <c r="B13" s="343" t="s">
        <v>378</v>
      </c>
      <c r="C13" s="607">
        <v>551126.313582264</v>
      </c>
      <c r="D13" s="604">
        <v>205360.988350826</v>
      </c>
      <c r="E13" s="604">
        <v>345765.3252308</v>
      </c>
      <c r="F13" s="607">
        <v>376372.85030957</v>
      </c>
      <c r="G13" s="606">
        <v>170361.48893163</v>
      </c>
      <c r="H13" s="606">
        <v>135647.120443</v>
      </c>
      <c r="I13" s="606">
        <v>19768.76920632</v>
      </c>
      <c r="J13" s="604">
        <v>50596.08110357</v>
      </c>
      <c r="K13" s="607">
        <v>1071387.55296304</v>
      </c>
      <c r="L13" s="604">
        <v>27885.040035</v>
      </c>
      <c r="M13" s="604">
        <v>48386.886458155</v>
      </c>
      <c r="N13" s="604">
        <v>194496.97614942</v>
      </c>
      <c r="O13" s="604">
        <v>97050.64611074</v>
      </c>
      <c r="P13" s="604">
        <v>143567.0906143</v>
      </c>
      <c r="Q13" s="604">
        <v>313376.75611541</v>
      </c>
      <c r="R13" s="606">
        <v>246624.15748002</v>
      </c>
      <c r="S13" s="607">
        <v>1158874.82903135</v>
      </c>
      <c r="T13" s="604">
        <v>14683.8844588</v>
      </c>
      <c r="U13" s="604">
        <v>547015.20191968</v>
      </c>
      <c r="V13" s="604">
        <v>156784.345769065</v>
      </c>
      <c r="W13" s="604">
        <v>440391.396883801</v>
      </c>
      <c r="X13" s="607">
        <v>36735.471162628</v>
      </c>
      <c r="Y13" s="604">
        <v>3194497.01704885</v>
      </c>
      <c r="Z13" s="626"/>
      <c r="AA13" s="223"/>
    </row>
    <row r="14" ht="15.6" spans="1:27">
      <c r="A14" s="240">
        <v>2021</v>
      </c>
      <c r="B14" s="343" t="s">
        <v>375</v>
      </c>
      <c r="C14" s="607">
        <v>419687.285663204</v>
      </c>
      <c r="D14" s="604">
        <v>260040.880997814</v>
      </c>
      <c r="E14" s="604">
        <v>159646.40466539</v>
      </c>
      <c r="F14" s="607">
        <v>336221.34643939</v>
      </c>
      <c r="G14" s="604">
        <v>90427.83884924</v>
      </c>
      <c r="H14" s="604">
        <v>77162.3186937</v>
      </c>
      <c r="I14" s="604">
        <v>126813.52925648</v>
      </c>
      <c r="J14" s="604">
        <v>41817.65963997</v>
      </c>
      <c r="K14" s="607">
        <v>1030931.27917962</v>
      </c>
      <c r="L14" s="604">
        <v>20753.3873531</v>
      </c>
      <c r="M14" s="604">
        <v>72561.129562825</v>
      </c>
      <c r="N14" s="604">
        <v>169277.43520769</v>
      </c>
      <c r="O14" s="604">
        <v>50400.43547493</v>
      </c>
      <c r="P14" s="604">
        <v>141410.74419142</v>
      </c>
      <c r="Q14" s="604">
        <v>302681.5980379</v>
      </c>
      <c r="R14" s="606">
        <v>273846.54935176</v>
      </c>
      <c r="S14" s="607">
        <v>1191433.71174357</v>
      </c>
      <c r="T14" s="604">
        <v>60213.50059035</v>
      </c>
      <c r="U14" s="604">
        <v>515345.7117015</v>
      </c>
      <c r="V14" s="604">
        <v>199245.287936146</v>
      </c>
      <c r="W14" s="604">
        <v>416629.21151557</v>
      </c>
      <c r="X14" s="607">
        <v>6658.33160748</v>
      </c>
      <c r="Y14" s="604">
        <v>2984931.95463326</v>
      </c>
      <c r="Z14" s="626"/>
      <c r="AA14" s="223"/>
    </row>
    <row r="15" ht="15.6" spans="1:28">
      <c r="A15" s="240"/>
      <c r="B15" s="343" t="s">
        <v>376</v>
      </c>
      <c r="C15" s="607">
        <v>543312.115001777</v>
      </c>
      <c r="D15" s="604">
        <v>374279.592948701</v>
      </c>
      <c r="E15" s="604">
        <v>169032.522053076</v>
      </c>
      <c r="F15" s="607">
        <v>805816.111077445</v>
      </c>
      <c r="G15" s="604">
        <v>256363.146569009</v>
      </c>
      <c r="H15" s="604">
        <v>355083.987817436</v>
      </c>
      <c r="I15" s="604">
        <v>48456.881761</v>
      </c>
      <c r="J15" s="604">
        <v>145912.09493</v>
      </c>
      <c r="K15" s="607">
        <v>1808261.27857961</v>
      </c>
      <c r="L15" s="604">
        <v>64827.160276817</v>
      </c>
      <c r="M15" s="604">
        <v>181634.675579343</v>
      </c>
      <c r="N15" s="604">
        <v>297872.705563447</v>
      </c>
      <c r="O15" s="604">
        <v>69541.532332216</v>
      </c>
      <c r="P15" s="604">
        <v>200482.836648156</v>
      </c>
      <c r="Q15" s="604">
        <v>513156.14761612</v>
      </c>
      <c r="R15" s="606">
        <v>480746.220563515</v>
      </c>
      <c r="S15" s="607">
        <v>1839384.97007544</v>
      </c>
      <c r="T15" s="604">
        <v>23757.86153194</v>
      </c>
      <c r="U15" s="604">
        <v>947599.364885778</v>
      </c>
      <c r="V15" s="604">
        <v>185691.884001024</v>
      </c>
      <c r="W15" s="604">
        <v>682335.859656701</v>
      </c>
      <c r="X15" s="607">
        <v>22908.249745101</v>
      </c>
      <c r="Y15" s="604">
        <v>5019682.72447938</v>
      </c>
      <c r="Z15" s="626"/>
      <c r="AA15" s="223"/>
      <c r="AB15" s="38"/>
    </row>
    <row r="16" ht="15.6" spans="1:28">
      <c r="A16" s="240"/>
      <c r="B16" s="343" t="s">
        <v>377</v>
      </c>
      <c r="C16" s="607">
        <v>676561.502339731</v>
      </c>
      <c r="D16" s="604">
        <v>356664.980487725</v>
      </c>
      <c r="E16" s="604">
        <v>319896.521852006</v>
      </c>
      <c r="F16" s="607">
        <v>625679.013694016</v>
      </c>
      <c r="G16" s="604">
        <v>229334.317818704</v>
      </c>
      <c r="H16" s="604">
        <v>204797.409030904</v>
      </c>
      <c r="I16" s="604">
        <v>106230.581047</v>
      </c>
      <c r="J16" s="604">
        <v>85316.705797408</v>
      </c>
      <c r="K16" s="607">
        <v>2228017.9918344</v>
      </c>
      <c r="L16" s="604">
        <v>152914.422989181</v>
      </c>
      <c r="M16" s="604">
        <v>65736.267667345</v>
      </c>
      <c r="N16" s="604">
        <v>242121.463631626</v>
      </c>
      <c r="O16" s="604">
        <v>446036.958872382</v>
      </c>
      <c r="P16" s="604">
        <v>363299.239307442</v>
      </c>
      <c r="Q16" s="604">
        <v>627007.100743325</v>
      </c>
      <c r="R16" s="606">
        <v>330902.538623094</v>
      </c>
      <c r="S16" s="607">
        <v>1480581.0546203</v>
      </c>
      <c r="T16" s="604">
        <v>26277.10385757</v>
      </c>
      <c r="U16" s="604">
        <v>758135.54920989</v>
      </c>
      <c r="V16" s="604">
        <v>109895.91886526</v>
      </c>
      <c r="W16" s="604">
        <v>586272.482687578</v>
      </c>
      <c r="X16" s="607">
        <v>125715.58627555</v>
      </c>
      <c r="Y16" s="604">
        <v>5136555.14876399</v>
      </c>
      <c r="Z16" s="626"/>
      <c r="AA16" s="223"/>
      <c r="AB16" s="38"/>
    </row>
    <row r="17" ht="15.6" spans="1:27">
      <c r="A17" s="240"/>
      <c r="B17" s="343" t="s">
        <v>378</v>
      </c>
      <c r="C17" s="607">
        <v>773827.844099655</v>
      </c>
      <c r="D17" s="604">
        <v>250521.800884053</v>
      </c>
      <c r="E17" s="604">
        <v>523306.043215602</v>
      </c>
      <c r="F17" s="607">
        <v>702738.429546402</v>
      </c>
      <c r="G17" s="604">
        <v>224219.914867071</v>
      </c>
      <c r="H17" s="604">
        <v>220896.921955055</v>
      </c>
      <c r="I17" s="604">
        <v>215296.461738807</v>
      </c>
      <c r="J17" s="604">
        <v>42325.130985469</v>
      </c>
      <c r="K17" s="607">
        <v>2408388.41587153</v>
      </c>
      <c r="L17" s="604">
        <v>92208.406995298</v>
      </c>
      <c r="M17" s="604">
        <v>128647.784162473</v>
      </c>
      <c r="N17" s="604">
        <v>425854.232425536</v>
      </c>
      <c r="O17" s="604">
        <v>193193.63693857</v>
      </c>
      <c r="P17" s="604">
        <v>485351.255004487</v>
      </c>
      <c r="Q17" s="604">
        <v>789232.803775294</v>
      </c>
      <c r="R17" s="606">
        <v>293900.296569872</v>
      </c>
      <c r="S17" s="607">
        <v>1875557.88221343</v>
      </c>
      <c r="T17" s="604">
        <v>43651.52808938</v>
      </c>
      <c r="U17" s="604">
        <v>874862.02985566</v>
      </c>
      <c r="V17" s="604">
        <v>244169.65786011</v>
      </c>
      <c r="W17" s="604">
        <v>712874.666408282</v>
      </c>
      <c r="X17" s="607">
        <v>6106.314164776</v>
      </c>
      <c r="Y17" s="604">
        <v>5766618.88589579</v>
      </c>
      <c r="Z17" s="626"/>
      <c r="AA17" s="223"/>
    </row>
    <row r="18" ht="15.6" spans="1:27">
      <c r="A18" s="240">
        <v>2022</v>
      </c>
      <c r="B18" s="343" t="s">
        <v>375</v>
      </c>
      <c r="C18" s="607">
        <v>444418.137381078</v>
      </c>
      <c r="D18" s="607">
        <v>331295.998238253</v>
      </c>
      <c r="E18" s="607">
        <v>113122.139142825</v>
      </c>
      <c r="F18" s="607">
        <v>895869.47969331</v>
      </c>
      <c r="G18" s="607">
        <v>372727.715588238</v>
      </c>
      <c r="H18" s="607">
        <v>261180.044589287</v>
      </c>
      <c r="I18" s="607">
        <v>212035.107357347</v>
      </c>
      <c r="J18" s="607">
        <v>49926.612158438</v>
      </c>
      <c r="K18" s="607">
        <v>3046072.37044404</v>
      </c>
      <c r="L18" s="607">
        <v>101442.682200007</v>
      </c>
      <c r="M18" s="607">
        <v>193265.637076857</v>
      </c>
      <c r="N18" s="607">
        <v>660588.98783906</v>
      </c>
      <c r="O18" s="607">
        <v>366182.439555193</v>
      </c>
      <c r="P18" s="607">
        <v>338774.092464916</v>
      </c>
      <c r="Q18" s="607">
        <v>677691.560669059</v>
      </c>
      <c r="R18" s="607">
        <v>708126.970638947</v>
      </c>
      <c r="S18" s="607">
        <v>2713199.7123623</v>
      </c>
      <c r="T18" s="607">
        <v>48510.06288217</v>
      </c>
      <c r="U18" s="607">
        <v>1176768.88586233</v>
      </c>
      <c r="V18" s="607">
        <v>148984.323991922</v>
      </c>
      <c r="W18" s="607">
        <v>1338936.43962588</v>
      </c>
      <c r="X18" s="607">
        <v>2553.92689993</v>
      </c>
      <c r="Y18" s="607">
        <v>7102113.62678066</v>
      </c>
      <c r="Z18" s="626"/>
      <c r="AA18" s="223"/>
    </row>
    <row r="19" ht="15.6" spans="1:27">
      <c r="A19" s="240"/>
      <c r="B19" s="343" t="s">
        <v>376</v>
      </c>
      <c r="C19" s="607">
        <v>459632.550816666</v>
      </c>
      <c r="D19" s="607">
        <v>353938.180049081</v>
      </c>
      <c r="E19" s="607">
        <v>105694.370767585</v>
      </c>
      <c r="F19" s="607">
        <v>1195674.1458005</v>
      </c>
      <c r="G19" s="607">
        <v>661193.56111131</v>
      </c>
      <c r="H19" s="607">
        <v>229740.048371672</v>
      </c>
      <c r="I19" s="607">
        <v>118898.873680443</v>
      </c>
      <c r="J19" s="607">
        <v>185841.662637075</v>
      </c>
      <c r="K19" s="607">
        <v>3280514.10840154</v>
      </c>
      <c r="L19" s="607">
        <v>60225.775452524</v>
      </c>
      <c r="M19" s="607">
        <v>152669.341817614</v>
      </c>
      <c r="N19" s="607">
        <v>914464.168458436</v>
      </c>
      <c r="O19" s="607">
        <v>260882.770547952</v>
      </c>
      <c r="P19" s="607">
        <v>285781.018351542</v>
      </c>
      <c r="Q19" s="607">
        <v>1035551.03489216</v>
      </c>
      <c r="R19" s="607">
        <v>570939.998881313</v>
      </c>
      <c r="S19" s="607">
        <v>2426752.34428917</v>
      </c>
      <c r="T19" s="607">
        <v>109221.639494342</v>
      </c>
      <c r="U19" s="607">
        <v>1099521.48781362</v>
      </c>
      <c r="V19" s="607">
        <v>71113.733030276</v>
      </c>
      <c r="W19" s="607">
        <v>1146895.48395094</v>
      </c>
      <c r="X19" s="607">
        <v>38313.67441355</v>
      </c>
      <c r="Y19" s="607">
        <v>7400886.82372143</v>
      </c>
      <c r="Z19" s="626"/>
      <c r="AA19" s="223"/>
    </row>
    <row r="20" ht="15.6" spans="1:28">
      <c r="A20" s="240"/>
      <c r="B20" s="343" t="s">
        <v>377</v>
      </c>
      <c r="C20" s="607">
        <v>812861.328819056</v>
      </c>
      <c r="D20" s="607">
        <v>507947.345715613</v>
      </c>
      <c r="E20" s="607">
        <v>304913.983103443</v>
      </c>
      <c r="F20" s="607">
        <v>723295.423201721</v>
      </c>
      <c r="G20" s="607">
        <v>335948.238216974</v>
      </c>
      <c r="H20" s="607">
        <v>140816.000886522</v>
      </c>
      <c r="I20" s="607">
        <v>132960.420782902</v>
      </c>
      <c r="J20" s="607">
        <v>113570.763315323</v>
      </c>
      <c r="K20" s="607">
        <v>2619965.42916193</v>
      </c>
      <c r="L20" s="607">
        <v>42100.843446326</v>
      </c>
      <c r="M20" s="607">
        <v>126986.162354451</v>
      </c>
      <c r="N20" s="607">
        <v>420405.479380183</v>
      </c>
      <c r="O20" s="607">
        <v>212838.253846027</v>
      </c>
      <c r="P20" s="607">
        <v>430403.938719099</v>
      </c>
      <c r="Q20" s="607">
        <v>873620.751064347</v>
      </c>
      <c r="R20" s="607">
        <v>513610.000351496</v>
      </c>
      <c r="S20" s="607">
        <v>1747484.80430493</v>
      </c>
      <c r="T20" s="607">
        <v>99948.528092375</v>
      </c>
      <c r="U20" s="607">
        <v>619224.691178837</v>
      </c>
      <c r="V20" s="607">
        <v>58620.318909687</v>
      </c>
      <c r="W20" s="607">
        <v>969691.266124029</v>
      </c>
      <c r="X20" s="607">
        <v>30539.094776904</v>
      </c>
      <c r="Y20" s="607">
        <v>5934146.08026454</v>
      </c>
      <c r="Z20" s="626"/>
      <c r="AA20" s="223"/>
      <c r="AB20" s="38"/>
    </row>
    <row r="21" ht="15.6" spans="1:27">
      <c r="A21" s="240"/>
      <c r="B21" s="343" t="s">
        <v>378</v>
      </c>
      <c r="C21" s="607">
        <v>942133.42655936</v>
      </c>
      <c r="D21" s="607">
        <v>553794.202038858</v>
      </c>
      <c r="E21" s="607">
        <v>388339.224520502</v>
      </c>
      <c r="F21" s="607">
        <v>1150203.73512969</v>
      </c>
      <c r="G21" s="607">
        <v>454890.964566316</v>
      </c>
      <c r="H21" s="607">
        <v>169554.45898462</v>
      </c>
      <c r="I21" s="607">
        <v>305019.3294913</v>
      </c>
      <c r="J21" s="607">
        <v>220738.98208745</v>
      </c>
      <c r="K21" s="607">
        <v>2796412.59644532</v>
      </c>
      <c r="L21" s="607">
        <v>136946.638315188</v>
      </c>
      <c r="M21" s="607">
        <v>60388.226964801</v>
      </c>
      <c r="N21" s="607">
        <v>574552.38894493</v>
      </c>
      <c r="O21" s="607">
        <v>273484.309302547</v>
      </c>
      <c r="P21" s="607">
        <v>489821.13278552</v>
      </c>
      <c r="Q21" s="607">
        <v>617167.778065582</v>
      </c>
      <c r="R21" s="607">
        <v>644052.122066748</v>
      </c>
      <c r="S21" s="607">
        <v>1429017.74201852</v>
      </c>
      <c r="T21" s="607">
        <v>72144.40335034</v>
      </c>
      <c r="U21" s="607">
        <v>490445.254321862</v>
      </c>
      <c r="V21" s="607">
        <v>73713.668628479</v>
      </c>
      <c r="W21" s="607">
        <v>792714.41571784</v>
      </c>
      <c r="X21" s="607">
        <v>41840.83171218</v>
      </c>
      <c r="Y21" s="607">
        <v>6359608.33186506</v>
      </c>
      <c r="Z21" s="626"/>
      <c r="AA21" s="223"/>
    </row>
    <row r="22" ht="15.6" spans="1:27">
      <c r="A22" s="240">
        <v>2023</v>
      </c>
      <c r="B22" s="129" t="s">
        <v>375</v>
      </c>
      <c r="C22" s="129">
        <v>665895.886965441</v>
      </c>
      <c r="D22" s="129">
        <v>399190.644437037</v>
      </c>
      <c r="E22" s="129">
        <v>266705.242528404</v>
      </c>
      <c r="F22" s="129">
        <v>1193015.6065384</v>
      </c>
      <c r="G22" s="129">
        <v>579348.016896997</v>
      </c>
      <c r="H22" s="129">
        <v>427360.877686503</v>
      </c>
      <c r="I22" s="129">
        <v>114894.02877098</v>
      </c>
      <c r="J22" s="129">
        <v>71412.6831839161</v>
      </c>
      <c r="K22" s="129">
        <v>3011939.83235161</v>
      </c>
      <c r="L22" s="129">
        <v>51211.41632955</v>
      </c>
      <c r="M22" s="129">
        <v>455483.668992329</v>
      </c>
      <c r="N22" s="129">
        <v>837651.917237687</v>
      </c>
      <c r="O22" s="129">
        <v>347190.795757549</v>
      </c>
      <c r="P22" s="129">
        <v>487340.608016326</v>
      </c>
      <c r="Q22" s="129">
        <v>488174.910731513</v>
      </c>
      <c r="R22" s="129">
        <v>344886.515286653</v>
      </c>
      <c r="S22" s="129">
        <v>1612213.08785499</v>
      </c>
      <c r="T22" s="129">
        <v>46404.81713172</v>
      </c>
      <c r="U22" s="129">
        <v>386571.591675247</v>
      </c>
      <c r="V22" s="129">
        <v>126609.513392487</v>
      </c>
      <c r="W22" s="129">
        <v>1052627.16565554</v>
      </c>
      <c r="X22" s="129">
        <v>3974.46804501</v>
      </c>
      <c r="Y22" s="129">
        <v>6487038.88175545</v>
      </c>
      <c r="Z22" s="626"/>
      <c r="AA22" s="223"/>
    </row>
    <row r="23" ht="15.6" spans="1:27">
      <c r="A23" s="240"/>
      <c r="B23" s="129" t="s">
        <v>376</v>
      </c>
      <c r="C23" s="129">
        <v>644821.043971852</v>
      </c>
      <c r="D23" s="129">
        <v>439558.119221594</v>
      </c>
      <c r="E23" s="129">
        <v>205262.924750258</v>
      </c>
      <c r="F23" s="129">
        <v>1295641.81081571</v>
      </c>
      <c r="G23" s="129">
        <v>691848.96742578</v>
      </c>
      <c r="H23" s="129">
        <v>317047.50486545</v>
      </c>
      <c r="I23" s="129">
        <v>30970.70457731</v>
      </c>
      <c r="J23" s="129">
        <v>255774.63394717</v>
      </c>
      <c r="K23" s="129">
        <v>2733882.22556868</v>
      </c>
      <c r="L23" s="129">
        <v>99647.15601385</v>
      </c>
      <c r="M23" s="129">
        <v>128891.230595373</v>
      </c>
      <c r="N23" s="129">
        <v>779512.08315349</v>
      </c>
      <c r="O23" s="129">
        <v>118012.82243616</v>
      </c>
      <c r="P23" s="129">
        <v>343315.740889375</v>
      </c>
      <c r="Q23" s="129">
        <v>594132.55663975</v>
      </c>
      <c r="R23" s="129">
        <v>670370.63584068</v>
      </c>
      <c r="S23" s="129">
        <v>1754565.19541878</v>
      </c>
      <c r="T23" s="129">
        <v>57452.62192027</v>
      </c>
      <c r="U23" s="129">
        <v>504466.80063963</v>
      </c>
      <c r="V23" s="129">
        <v>131500.1568513</v>
      </c>
      <c r="W23" s="129">
        <v>1061145.61600758</v>
      </c>
      <c r="X23" s="129">
        <v>6219.9312912</v>
      </c>
      <c r="Y23" s="129">
        <v>6435130.20706622</v>
      </c>
      <c r="Z23" s="626"/>
      <c r="AA23" s="223"/>
    </row>
    <row r="24" ht="15.6" spans="1:27">
      <c r="A24" s="240"/>
      <c r="B24" s="129" t="s">
        <v>377</v>
      </c>
      <c r="C24" s="129">
        <v>1142206.26076626</v>
      </c>
      <c r="D24" s="129">
        <v>711706.118979399</v>
      </c>
      <c r="E24" s="129">
        <v>430500.14178686</v>
      </c>
      <c r="F24" s="129">
        <v>1552992.78540081</v>
      </c>
      <c r="G24" s="129">
        <v>608367.395689306</v>
      </c>
      <c r="H24" s="129">
        <v>484457.575098121</v>
      </c>
      <c r="I24" s="129">
        <v>124315.37729026</v>
      </c>
      <c r="J24" s="129">
        <v>335852.437323126</v>
      </c>
      <c r="K24" s="129">
        <v>4625651.34839048</v>
      </c>
      <c r="L24" s="129">
        <v>197735.787999401</v>
      </c>
      <c r="M24" s="129">
        <v>488925.923628295</v>
      </c>
      <c r="N24" s="129">
        <v>988657.86336771</v>
      </c>
      <c r="O24" s="129">
        <v>379154.49845875</v>
      </c>
      <c r="P24" s="129">
        <v>720448.410445896</v>
      </c>
      <c r="Q24" s="129">
        <v>1274065.99882221</v>
      </c>
      <c r="R24" s="129">
        <v>576662.86566822</v>
      </c>
      <c r="S24" s="129">
        <v>2949733.0878182</v>
      </c>
      <c r="T24" s="129">
        <v>68682.78298499</v>
      </c>
      <c r="U24" s="129">
        <v>1015131.05513896</v>
      </c>
      <c r="V24" s="129">
        <v>224278.2478141</v>
      </c>
      <c r="W24" s="129">
        <v>1641641.00188015</v>
      </c>
      <c r="X24" s="129">
        <v>76020.3682124</v>
      </c>
      <c r="Y24" s="129">
        <v>10346603.8505882</v>
      </c>
      <c r="Z24" s="626"/>
      <c r="AA24" s="223"/>
    </row>
    <row r="25" ht="15.6" spans="1:27">
      <c r="A25" s="608"/>
      <c r="B25" s="129" t="s">
        <v>378</v>
      </c>
      <c r="C25" s="129">
        <v>1260939.05613894</v>
      </c>
      <c r="D25" s="129">
        <v>686755.152289562</v>
      </c>
      <c r="E25" s="129">
        <v>574183.903849377</v>
      </c>
      <c r="F25" s="129">
        <v>2120754.77970887</v>
      </c>
      <c r="G25" s="129">
        <v>729595.33750449</v>
      </c>
      <c r="H25" s="129">
        <v>907644.01858991</v>
      </c>
      <c r="I25" s="129">
        <v>191321.049675711</v>
      </c>
      <c r="J25" s="129">
        <v>292194.373938756</v>
      </c>
      <c r="K25" s="129">
        <v>5958240.76568979</v>
      </c>
      <c r="L25" s="129">
        <v>177477.59983007</v>
      </c>
      <c r="M25" s="129">
        <v>335798.022702904</v>
      </c>
      <c r="N25" s="129">
        <v>1910468.86826559</v>
      </c>
      <c r="O25" s="129">
        <v>549831.92757418</v>
      </c>
      <c r="P25" s="129">
        <v>799769.98710915</v>
      </c>
      <c r="Q25" s="129">
        <v>1030086.36559592</v>
      </c>
      <c r="R25" s="129">
        <v>1154807.99461198</v>
      </c>
      <c r="S25" s="129">
        <v>3272667.48377253</v>
      </c>
      <c r="T25" s="129">
        <v>109743.80032344</v>
      </c>
      <c r="U25" s="129">
        <v>1101467.57426838</v>
      </c>
      <c r="V25" s="129">
        <v>408988.108914982</v>
      </c>
      <c r="W25" s="129">
        <v>1652468.00026573</v>
      </c>
      <c r="X25" s="129">
        <v>81017.417965462</v>
      </c>
      <c r="Y25" s="129">
        <v>12693619.5032756</v>
      </c>
      <c r="Z25" s="626"/>
      <c r="AA25" s="223"/>
    </row>
    <row r="26" s="176" customFormat="1" ht="15.6" spans="1:27">
      <c r="A26" s="240">
        <v>2024</v>
      </c>
      <c r="B26" s="129" t="s">
        <v>375</v>
      </c>
      <c r="C26" s="129">
        <v>2236817.60819097</v>
      </c>
      <c r="D26" s="129">
        <v>1250707.64613143</v>
      </c>
      <c r="E26" s="129">
        <v>986109.962059544</v>
      </c>
      <c r="F26" s="129">
        <v>3410477.10723662</v>
      </c>
      <c r="G26" s="129">
        <v>1311163.17100212</v>
      </c>
      <c r="H26" s="129">
        <v>1110479.79486747</v>
      </c>
      <c r="I26" s="129">
        <v>196612.482178316</v>
      </c>
      <c r="J26" s="129">
        <v>792221.659188708</v>
      </c>
      <c r="K26" s="129">
        <v>8325267.89003797</v>
      </c>
      <c r="L26" s="129">
        <v>394297.811627505</v>
      </c>
      <c r="M26" s="129">
        <v>268111.191346923</v>
      </c>
      <c r="N26" s="129">
        <v>1695441.39206755</v>
      </c>
      <c r="O26" s="129">
        <v>904272.867506589</v>
      </c>
      <c r="P26" s="129">
        <v>2125031.20623911</v>
      </c>
      <c r="Q26" s="129">
        <v>2023546.76876026</v>
      </c>
      <c r="R26" s="129">
        <v>914566.652490039</v>
      </c>
      <c r="S26" s="129">
        <v>5187972.79909709</v>
      </c>
      <c r="T26" s="129">
        <v>211474.18582794</v>
      </c>
      <c r="U26" s="129">
        <v>1611393.00418894</v>
      </c>
      <c r="V26" s="129">
        <v>682931.926995105</v>
      </c>
      <c r="W26" s="129">
        <v>2682173.6820851</v>
      </c>
      <c r="X26" s="129">
        <v>15658.3992416</v>
      </c>
      <c r="Y26" s="129">
        <v>19176193.8038043</v>
      </c>
      <c r="Z26" s="627"/>
      <c r="AA26" s="223"/>
    </row>
    <row r="27" s="176" customFormat="1" ht="15.6" spans="1:27">
      <c r="A27" s="609"/>
      <c r="B27" s="129" t="s">
        <v>376</v>
      </c>
      <c r="C27" s="610">
        <v>1974636.64426463</v>
      </c>
      <c r="D27" s="129">
        <v>1317246.5085217</v>
      </c>
      <c r="E27" s="129">
        <v>657390.13574293</v>
      </c>
      <c r="F27" s="129">
        <v>3121087.83803813</v>
      </c>
      <c r="G27" s="129">
        <v>1586493.47889944</v>
      </c>
      <c r="H27" s="129">
        <v>766340.416672389</v>
      </c>
      <c r="I27" s="129">
        <v>383871.67442549</v>
      </c>
      <c r="J27" s="129">
        <v>384382.26804081</v>
      </c>
      <c r="K27" s="129">
        <v>7907868.7058634</v>
      </c>
      <c r="L27" s="129">
        <v>563561.107150666</v>
      </c>
      <c r="M27" s="129">
        <v>254255.54862949</v>
      </c>
      <c r="N27" s="129">
        <v>1711105.21229907</v>
      </c>
      <c r="O27" s="129">
        <v>874225.024595485</v>
      </c>
      <c r="P27" s="129">
        <v>1333112.8672745</v>
      </c>
      <c r="Q27" s="129">
        <v>2099772.4744216</v>
      </c>
      <c r="R27" s="129">
        <v>1071836.47149258</v>
      </c>
      <c r="S27" s="129">
        <v>4654046.50852337</v>
      </c>
      <c r="T27" s="129">
        <v>186931.35810123</v>
      </c>
      <c r="U27" s="129">
        <v>1391016.23649993</v>
      </c>
      <c r="V27" s="129">
        <v>683911.966854598</v>
      </c>
      <c r="W27" s="129">
        <v>2392186.94706761</v>
      </c>
      <c r="X27" s="129">
        <v>56767.533979994</v>
      </c>
      <c r="Y27" s="129">
        <v>17714407.2306695</v>
      </c>
      <c r="Z27" s="627"/>
      <c r="AA27" s="223"/>
    </row>
    <row r="28" s="176" customFormat="1" ht="15.6" spans="1:27">
      <c r="A28" s="609"/>
      <c r="B28" s="129" t="s">
        <v>377</v>
      </c>
      <c r="C28" s="610">
        <v>2486659.11114064</v>
      </c>
      <c r="D28" s="129">
        <v>1540341.24575228</v>
      </c>
      <c r="E28" s="129">
        <v>946317.865388363</v>
      </c>
      <c r="F28" s="129">
        <v>3383862.99995597</v>
      </c>
      <c r="G28" s="129">
        <v>1689872.21796912</v>
      </c>
      <c r="H28" s="129">
        <v>979250.961751647</v>
      </c>
      <c r="I28" s="129">
        <v>373611.095096969</v>
      </c>
      <c r="J28" s="129">
        <v>341128.725138237</v>
      </c>
      <c r="K28" s="129">
        <v>9234610.83479445</v>
      </c>
      <c r="L28" s="129">
        <v>494310.931263456</v>
      </c>
      <c r="M28" s="129">
        <v>710989.110411813</v>
      </c>
      <c r="N28" s="129">
        <v>1434600.67605123</v>
      </c>
      <c r="O28" s="129">
        <v>1377370.67174334</v>
      </c>
      <c r="P28" s="129">
        <v>1588301.98513541</v>
      </c>
      <c r="Q28" s="129">
        <v>2268093.51520276</v>
      </c>
      <c r="R28" s="129">
        <v>1360943.94498644</v>
      </c>
      <c r="S28" s="129">
        <v>5227783.41516266</v>
      </c>
      <c r="T28" s="129">
        <v>222804.51169632</v>
      </c>
      <c r="U28" s="129">
        <v>1188455.30560721</v>
      </c>
      <c r="V28" s="129">
        <v>683741.02951111</v>
      </c>
      <c r="W28" s="129">
        <v>3132782.56834802</v>
      </c>
      <c r="X28" s="129">
        <v>204252.43955107</v>
      </c>
      <c r="Y28" s="129">
        <v>20537168.8006048</v>
      </c>
      <c r="Z28" s="627"/>
      <c r="AA28" s="223"/>
    </row>
    <row r="29" s="176" customFormat="1" ht="15.6" spans="1:27">
      <c r="A29" s="609"/>
      <c r="B29" s="129" t="s">
        <v>378</v>
      </c>
      <c r="C29" s="610">
        <v>2042058.98546814</v>
      </c>
      <c r="D29" s="129">
        <v>1175444.95047143</v>
      </c>
      <c r="E29" s="129">
        <v>866614.034996708</v>
      </c>
      <c r="F29" s="129">
        <v>3517613.72972492</v>
      </c>
      <c r="G29" s="129">
        <v>931193.03902512</v>
      </c>
      <c r="H29" s="129">
        <v>1371080.43980976</v>
      </c>
      <c r="I29" s="129">
        <v>348049.44846446</v>
      </c>
      <c r="J29" s="129">
        <v>867290.80242558</v>
      </c>
      <c r="K29" s="129">
        <v>8672291.87263877</v>
      </c>
      <c r="L29" s="129">
        <v>231466.42345274</v>
      </c>
      <c r="M29" s="129">
        <v>625131.63657504</v>
      </c>
      <c r="N29" s="129">
        <v>2089959.56308448</v>
      </c>
      <c r="O29" s="129">
        <v>833109.93282314</v>
      </c>
      <c r="P29" s="129">
        <v>1909763.34773273</v>
      </c>
      <c r="Q29" s="129">
        <v>1737683.05307276</v>
      </c>
      <c r="R29" s="129">
        <v>1245177.91589788</v>
      </c>
      <c r="S29" s="129">
        <v>5560990.61800803</v>
      </c>
      <c r="T29" s="129">
        <v>204204.06316071</v>
      </c>
      <c r="U29" s="129">
        <v>1596660.31239854</v>
      </c>
      <c r="V29" s="129">
        <v>945279.16078477</v>
      </c>
      <c r="W29" s="129">
        <v>2814847.08166401</v>
      </c>
      <c r="X29" s="129">
        <v>221373.91385834</v>
      </c>
      <c r="Y29" s="129">
        <v>20014329.1196982</v>
      </c>
      <c r="Z29" s="627"/>
      <c r="AA29" s="223"/>
    </row>
    <row r="30" s="176" customFormat="1" ht="15.6" spans="1:27">
      <c r="A30" s="609">
        <v>2025</v>
      </c>
      <c r="B30" s="130" t="s">
        <v>375</v>
      </c>
      <c r="C30" s="611">
        <v>1854484.7638819</v>
      </c>
      <c r="D30" s="130">
        <v>1067826.26227274</v>
      </c>
      <c r="E30" s="130">
        <v>786658.501609158</v>
      </c>
      <c r="F30" s="130">
        <v>3329454.52969237</v>
      </c>
      <c r="G30" s="130">
        <v>1543573.19907694</v>
      </c>
      <c r="H30" s="130">
        <v>813435.57244994</v>
      </c>
      <c r="I30" s="130">
        <v>369081.55611269</v>
      </c>
      <c r="J30" s="130">
        <v>603364.2020528</v>
      </c>
      <c r="K30" s="130">
        <v>8642861.99030304</v>
      </c>
      <c r="L30" s="130">
        <v>482482.80233613</v>
      </c>
      <c r="M30" s="130">
        <v>276388.69553335</v>
      </c>
      <c r="N30" s="130">
        <v>2258412.50325373</v>
      </c>
      <c r="O30" s="130">
        <v>1243157.79753705</v>
      </c>
      <c r="P30" s="130">
        <v>1443227.94198975</v>
      </c>
      <c r="Q30" s="130">
        <v>1440016.63108286</v>
      </c>
      <c r="R30" s="130">
        <v>1499175.61857017</v>
      </c>
      <c r="S30" s="130">
        <v>6753820.10059241</v>
      </c>
      <c r="T30" s="130">
        <v>84682.82669879</v>
      </c>
      <c r="U30" s="130">
        <v>2841617.31438445</v>
      </c>
      <c r="V30" s="130">
        <v>300548.55662497</v>
      </c>
      <c r="W30" s="130">
        <v>3526971.4028842</v>
      </c>
      <c r="X30" s="130">
        <v>17859.36816992</v>
      </c>
      <c r="Y30" s="185">
        <v>20598480.7526396</v>
      </c>
      <c r="Z30" s="626"/>
      <c r="AA30" s="223"/>
    </row>
    <row r="31" ht="15.6" spans="1:27">
      <c r="A31" s="240">
        <v>2020</v>
      </c>
      <c r="B31" s="608" t="s">
        <v>379</v>
      </c>
      <c r="C31" s="606">
        <v>409384.16926012</v>
      </c>
      <c r="D31" s="606">
        <v>116590.27248469</v>
      </c>
      <c r="E31" s="606">
        <v>292793.89677543</v>
      </c>
      <c r="F31" s="606">
        <v>83419.03615597</v>
      </c>
      <c r="G31" s="606">
        <v>42726.31548901</v>
      </c>
      <c r="H31" s="606">
        <v>318.8241357</v>
      </c>
      <c r="I31" s="606">
        <v>10177.501001</v>
      </c>
      <c r="J31" s="604">
        <v>30196.39553026</v>
      </c>
      <c r="K31" s="606">
        <v>671869.0401518</v>
      </c>
      <c r="L31" s="606">
        <v>24702.00448912</v>
      </c>
      <c r="M31" s="606">
        <v>33332.06601245</v>
      </c>
      <c r="N31" s="606">
        <v>198070.33078726</v>
      </c>
      <c r="O31" s="606">
        <v>67595.48736991</v>
      </c>
      <c r="P31" s="606">
        <v>54605.18331299</v>
      </c>
      <c r="Q31" s="606">
        <v>162803.97981662</v>
      </c>
      <c r="R31" s="606">
        <v>130759.98836345</v>
      </c>
      <c r="S31" s="606">
        <v>538693.40039405</v>
      </c>
      <c r="T31" s="606">
        <v>12544.34294493</v>
      </c>
      <c r="U31" s="606">
        <v>243419.42342365</v>
      </c>
      <c r="V31" s="606">
        <v>83929.39764882</v>
      </c>
      <c r="W31" s="604">
        <v>198800.23637665</v>
      </c>
      <c r="X31" s="606">
        <v>3317.94022971</v>
      </c>
      <c r="Y31" s="604">
        <v>1706683.58619165</v>
      </c>
      <c r="Z31" s="626"/>
      <c r="AA31" s="223"/>
    </row>
    <row r="32" ht="15.6" spans="1:27">
      <c r="A32" s="240"/>
      <c r="B32" s="608" t="s">
        <v>380</v>
      </c>
      <c r="C32" s="606">
        <v>366712.2583599</v>
      </c>
      <c r="D32" s="606">
        <v>112945.5943025</v>
      </c>
      <c r="E32" s="606">
        <v>253766.6640574</v>
      </c>
      <c r="F32" s="606">
        <v>79832.84533029</v>
      </c>
      <c r="G32" s="606">
        <v>39054.7697727</v>
      </c>
      <c r="H32" s="606">
        <v>17626.32112645</v>
      </c>
      <c r="I32" s="606">
        <v>6174.20591</v>
      </c>
      <c r="J32" s="604">
        <v>16977.54852114</v>
      </c>
      <c r="K32" s="606">
        <v>551427.72145258</v>
      </c>
      <c r="L32" s="606">
        <v>3180.14259387</v>
      </c>
      <c r="M32" s="606">
        <v>97543.26369168</v>
      </c>
      <c r="N32" s="606">
        <v>119642.40076294</v>
      </c>
      <c r="O32" s="606">
        <v>74799.37466702</v>
      </c>
      <c r="P32" s="606">
        <v>49840.30948205</v>
      </c>
      <c r="Q32" s="606">
        <v>128177.32133603</v>
      </c>
      <c r="R32" s="606">
        <v>78244.9089189899</v>
      </c>
      <c r="S32" s="606">
        <v>421786.50155827</v>
      </c>
      <c r="T32" s="606">
        <v>3647.39131247</v>
      </c>
      <c r="U32" s="606">
        <v>246498.11289808</v>
      </c>
      <c r="V32" s="606">
        <v>16784.09269225</v>
      </c>
      <c r="W32" s="604">
        <v>154856.90465547</v>
      </c>
      <c r="X32" s="606">
        <v>19065.8035726</v>
      </c>
      <c r="Y32" s="604">
        <v>1438825.13027364</v>
      </c>
      <c r="Z32" s="626"/>
      <c r="AA32" s="223"/>
    </row>
    <row r="33" ht="15.6" spans="1:27">
      <c r="A33" s="240"/>
      <c r="B33" s="608" t="s">
        <v>391</v>
      </c>
      <c r="C33" s="606">
        <v>203708.31105372</v>
      </c>
      <c r="D33" s="606">
        <v>68507.38464643</v>
      </c>
      <c r="E33" s="606">
        <v>135200.92640729</v>
      </c>
      <c r="F33" s="606">
        <v>53995.41697454</v>
      </c>
      <c r="G33" s="606">
        <v>20618.84404954</v>
      </c>
      <c r="H33" s="606">
        <v>11093.8580848</v>
      </c>
      <c r="I33" s="606">
        <v>11170.1349772</v>
      </c>
      <c r="J33" s="604">
        <v>11112.579863</v>
      </c>
      <c r="K33" s="606">
        <v>352363.81191456</v>
      </c>
      <c r="L33" s="606">
        <v>9381.41360699</v>
      </c>
      <c r="M33" s="606">
        <v>16804.5721436</v>
      </c>
      <c r="N33" s="606">
        <v>79219.03905301</v>
      </c>
      <c r="O33" s="606">
        <v>19912.60189485</v>
      </c>
      <c r="P33" s="606">
        <v>55128.91524496</v>
      </c>
      <c r="Q33" s="606">
        <v>118390.11525457</v>
      </c>
      <c r="R33" s="606">
        <v>53527.15471658</v>
      </c>
      <c r="S33" s="606">
        <v>331387.24906591</v>
      </c>
      <c r="T33" s="606">
        <v>15020.89794694</v>
      </c>
      <c r="U33" s="606">
        <v>147340.50279706</v>
      </c>
      <c r="V33" s="606">
        <v>27265.46542484</v>
      </c>
      <c r="W33" s="604">
        <v>141760.38289707</v>
      </c>
      <c r="X33" s="606">
        <v>22806.43192481</v>
      </c>
      <c r="Y33" s="604">
        <v>964261.22093354</v>
      </c>
      <c r="Z33" s="223"/>
      <c r="AA33" s="38"/>
    </row>
    <row r="34" ht="15.6" spans="1:27">
      <c r="A34" s="612"/>
      <c r="B34" s="608" t="s">
        <v>382</v>
      </c>
      <c r="C34" s="606">
        <v>133766.24486227</v>
      </c>
      <c r="D34" s="606">
        <v>54910.90359024</v>
      </c>
      <c r="E34" s="606">
        <v>78855.34127203</v>
      </c>
      <c r="F34" s="606">
        <v>38322.53333974</v>
      </c>
      <c r="G34" s="606">
        <v>32899.23359258</v>
      </c>
      <c r="H34" s="606">
        <v>548.81766352</v>
      </c>
      <c r="I34" s="606">
        <v>3058.029248</v>
      </c>
      <c r="J34" s="604">
        <v>1816.45283564</v>
      </c>
      <c r="K34" s="606">
        <v>329348.59516404</v>
      </c>
      <c r="L34" s="606">
        <v>13539.11184413</v>
      </c>
      <c r="M34" s="606">
        <v>4919.18978888</v>
      </c>
      <c r="N34" s="606">
        <v>46572.05526894</v>
      </c>
      <c r="O34" s="606">
        <v>12104.31325094</v>
      </c>
      <c r="P34" s="606">
        <v>25663.331709</v>
      </c>
      <c r="Q34" s="606">
        <v>173553.43516457</v>
      </c>
      <c r="R34" s="606">
        <v>52997.15813758</v>
      </c>
      <c r="S34" s="606">
        <v>183424.29182777</v>
      </c>
      <c r="T34" s="606">
        <v>10674.9512356</v>
      </c>
      <c r="U34" s="606">
        <v>101434.73989258</v>
      </c>
      <c r="V34" s="606">
        <v>27295.02777355</v>
      </c>
      <c r="W34" s="604">
        <v>44019.57292604</v>
      </c>
      <c r="X34" s="606">
        <v>1296.66748536</v>
      </c>
      <c r="Y34" s="604">
        <v>686158.33267918</v>
      </c>
      <c r="Z34" s="223"/>
      <c r="AA34" s="38"/>
    </row>
    <row r="35" ht="15.6" spans="1:27">
      <c r="A35" s="612"/>
      <c r="B35" s="608" t="s">
        <v>383</v>
      </c>
      <c r="C35" s="606">
        <v>187912.20806771</v>
      </c>
      <c r="D35" s="606">
        <v>71259.46318471</v>
      </c>
      <c r="E35" s="606">
        <v>116652.744883</v>
      </c>
      <c r="F35" s="606">
        <v>34358.17485476</v>
      </c>
      <c r="G35" s="606">
        <v>14136.39841366</v>
      </c>
      <c r="H35" s="606">
        <v>9495.85736742</v>
      </c>
      <c r="I35" s="606">
        <v>3481.774937</v>
      </c>
      <c r="J35" s="604">
        <v>7244.14413668</v>
      </c>
      <c r="K35" s="606">
        <v>314451.86781004</v>
      </c>
      <c r="L35" s="606">
        <v>502.95113978</v>
      </c>
      <c r="M35" s="606">
        <v>11025.33069831</v>
      </c>
      <c r="N35" s="606">
        <v>123972.6570919</v>
      </c>
      <c r="O35" s="606">
        <v>9272.09020484</v>
      </c>
      <c r="P35" s="606">
        <v>72453.30434762</v>
      </c>
      <c r="Q35" s="606">
        <v>54882.50983804</v>
      </c>
      <c r="R35" s="606">
        <v>42343.02448955</v>
      </c>
      <c r="S35" s="606">
        <v>215893.32619459</v>
      </c>
      <c r="T35" s="606">
        <v>10646.92218582</v>
      </c>
      <c r="U35" s="606">
        <v>41140.20926317</v>
      </c>
      <c r="V35" s="606">
        <v>68752.97137124</v>
      </c>
      <c r="W35" s="604">
        <v>95353.22337436</v>
      </c>
      <c r="X35" s="606">
        <v>53.9706066</v>
      </c>
      <c r="Y35" s="604">
        <v>752669.5475337</v>
      </c>
      <c r="Z35" s="223"/>
      <c r="AA35" s="38"/>
    </row>
    <row r="36" ht="15.6" spans="1:27">
      <c r="A36" s="612"/>
      <c r="B36" s="608" t="s">
        <v>384</v>
      </c>
      <c r="C36" s="606">
        <v>79710.13116762</v>
      </c>
      <c r="D36" s="606">
        <v>22863.80724302</v>
      </c>
      <c r="E36" s="606">
        <v>56846.3239246</v>
      </c>
      <c r="F36" s="606">
        <v>33090.96760215</v>
      </c>
      <c r="G36" s="606">
        <v>14124.76810991</v>
      </c>
      <c r="H36" s="606">
        <v>16516.52940924</v>
      </c>
      <c r="I36" s="606">
        <v>6.9312</v>
      </c>
      <c r="J36" s="604">
        <v>2442.738883</v>
      </c>
      <c r="K36" s="606">
        <v>334857.42831303</v>
      </c>
      <c r="L36" s="606">
        <v>23194.64546536</v>
      </c>
      <c r="M36" s="606">
        <v>13378.58393834</v>
      </c>
      <c r="N36" s="606">
        <v>75273.89187734</v>
      </c>
      <c r="O36" s="606">
        <v>41054.98437392</v>
      </c>
      <c r="P36" s="606">
        <v>22132.81268982</v>
      </c>
      <c r="Q36" s="606">
        <v>82311.3626987</v>
      </c>
      <c r="R36" s="606">
        <v>77511.1472695501</v>
      </c>
      <c r="S36" s="606">
        <v>338086.57319991</v>
      </c>
      <c r="T36" s="606">
        <v>14491.61101844</v>
      </c>
      <c r="U36" s="606">
        <v>52975.9281967</v>
      </c>
      <c r="V36" s="606">
        <v>127574.50314477</v>
      </c>
      <c r="W36" s="604">
        <v>143044.53084</v>
      </c>
      <c r="X36" s="606">
        <v>380.17419547</v>
      </c>
      <c r="Y36" s="604">
        <v>786125.27447818</v>
      </c>
      <c r="Z36" s="223"/>
      <c r="AA36" s="38"/>
    </row>
    <row r="37" ht="15.6" spans="1:27">
      <c r="A37" s="612"/>
      <c r="B37" s="608" t="s">
        <v>385</v>
      </c>
      <c r="C37" s="606">
        <v>111098.78794393</v>
      </c>
      <c r="D37" s="606">
        <v>50560.09344805</v>
      </c>
      <c r="E37" s="606">
        <v>60538.69449588</v>
      </c>
      <c r="F37" s="606">
        <v>50128.2822307</v>
      </c>
      <c r="G37" s="606">
        <v>14745.15383637</v>
      </c>
      <c r="H37" s="606">
        <v>32088.82459059</v>
      </c>
      <c r="I37" s="606">
        <v>35.8742667</v>
      </c>
      <c r="J37" s="604">
        <v>3258.42953704</v>
      </c>
      <c r="K37" s="606">
        <v>476074.61898242</v>
      </c>
      <c r="L37" s="606">
        <v>2716.22470412</v>
      </c>
      <c r="M37" s="606">
        <v>32915.63253433</v>
      </c>
      <c r="N37" s="606">
        <v>93022.15978486</v>
      </c>
      <c r="O37" s="606">
        <v>46619.08480917</v>
      </c>
      <c r="P37" s="606">
        <v>30630.54127323</v>
      </c>
      <c r="Q37" s="606">
        <v>142079.61982685</v>
      </c>
      <c r="R37" s="606">
        <v>128091.35604986</v>
      </c>
      <c r="S37" s="606">
        <v>447703.88273516</v>
      </c>
      <c r="T37" s="606">
        <v>8733.40388432</v>
      </c>
      <c r="U37" s="606">
        <v>197994.85787749</v>
      </c>
      <c r="V37" s="606">
        <v>92716.98094201</v>
      </c>
      <c r="W37" s="604">
        <v>148258.64003134</v>
      </c>
      <c r="X37" s="606">
        <v>19884.61283578</v>
      </c>
      <c r="Y37" s="604">
        <v>1104890.18472799</v>
      </c>
      <c r="Z37" s="223"/>
      <c r="AA37" s="38"/>
    </row>
    <row r="38" ht="15.6" spans="1:27">
      <c r="A38" s="612"/>
      <c r="B38" s="608" t="s">
        <v>386</v>
      </c>
      <c r="C38" s="606">
        <v>184846.53701402</v>
      </c>
      <c r="D38" s="606">
        <v>92511.49773893</v>
      </c>
      <c r="E38" s="606">
        <v>92335.03927509</v>
      </c>
      <c r="F38" s="606">
        <v>53407.5836302</v>
      </c>
      <c r="G38" s="606">
        <v>19840.4515616</v>
      </c>
      <c r="H38" s="606">
        <v>33561.2732438</v>
      </c>
      <c r="I38" s="606">
        <v>0</v>
      </c>
      <c r="J38" s="604">
        <v>5.85882479999418</v>
      </c>
      <c r="K38" s="606">
        <v>396473.3105245</v>
      </c>
      <c r="L38" s="606">
        <v>1256.212069</v>
      </c>
      <c r="M38" s="606">
        <v>7928.96269685</v>
      </c>
      <c r="N38" s="606">
        <v>97131.59085822</v>
      </c>
      <c r="O38" s="606">
        <v>45718.95265969</v>
      </c>
      <c r="P38" s="606">
        <v>55080.35780931</v>
      </c>
      <c r="Q38" s="606">
        <v>96660.43249771</v>
      </c>
      <c r="R38" s="606">
        <v>92696.80193372</v>
      </c>
      <c r="S38" s="606">
        <v>356811.76006331</v>
      </c>
      <c r="T38" s="606">
        <v>9653.21287705</v>
      </c>
      <c r="U38" s="606">
        <v>149150.76706433</v>
      </c>
      <c r="V38" s="606">
        <v>14875.95017658</v>
      </c>
      <c r="W38" s="604">
        <v>183131.82994535</v>
      </c>
      <c r="X38" s="606">
        <v>571.83316874</v>
      </c>
      <c r="Y38" s="604">
        <v>992111.02440077</v>
      </c>
      <c r="Z38" s="223"/>
      <c r="AA38" s="38"/>
    </row>
    <row r="39" ht="15.6" spans="1:27">
      <c r="A39" s="612"/>
      <c r="B39" s="608" t="s">
        <v>387</v>
      </c>
      <c r="C39" s="606">
        <v>146622.90370497</v>
      </c>
      <c r="D39" s="606">
        <v>45822.49807532</v>
      </c>
      <c r="E39" s="606">
        <v>100800.40562965</v>
      </c>
      <c r="F39" s="606">
        <v>47248.17699389</v>
      </c>
      <c r="G39" s="606">
        <v>13690.3136798</v>
      </c>
      <c r="H39" s="606">
        <v>30149.955206</v>
      </c>
      <c r="I39" s="606">
        <v>0</v>
      </c>
      <c r="J39" s="604">
        <v>3407.90810809</v>
      </c>
      <c r="K39" s="606">
        <v>370717.72404396</v>
      </c>
      <c r="L39" s="606">
        <v>10534.4390842</v>
      </c>
      <c r="M39" s="606">
        <v>43927.7421685</v>
      </c>
      <c r="N39" s="606">
        <v>44893.46479098</v>
      </c>
      <c r="O39" s="606">
        <v>26071.03372138</v>
      </c>
      <c r="P39" s="606">
        <v>56510.93708565</v>
      </c>
      <c r="Q39" s="606">
        <v>89728.44240742</v>
      </c>
      <c r="R39" s="606">
        <v>99051.66478583</v>
      </c>
      <c r="S39" s="606">
        <v>315001.47743124</v>
      </c>
      <c r="T39" s="606">
        <v>444.16783118</v>
      </c>
      <c r="U39" s="606">
        <v>153480.60029079</v>
      </c>
      <c r="V39" s="606">
        <v>17502.84687506</v>
      </c>
      <c r="W39" s="604">
        <v>143573.86243421</v>
      </c>
      <c r="X39" s="606">
        <v>16872.84340591</v>
      </c>
      <c r="Y39" s="604">
        <v>896463.12557997</v>
      </c>
      <c r="Z39" s="223"/>
      <c r="AA39" s="38"/>
    </row>
    <row r="40" ht="15.6" spans="1:27">
      <c r="A40" s="339"/>
      <c r="B40" s="343" t="s">
        <v>388</v>
      </c>
      <c r="C40" s="613">
        <v>181831.783318616</v>
      </c>
      <c r="D40" s="614">
        <v>79652.719435446</v>
      </c>
      <c r="E40" s="604">
        <v>102179.06388317</v>
      </c>
      <c r="F40" s="615">
        <v>96845.12833</v>
      </c>
      <c r="G40" s="606">
        <v>49171.421944</v>
      </c>
      <c r="H40" s="606">
        <v>29479.752863</v>
      </c>
      <c r="I40" s="606">
        <v>3823.251072</v>
      </c>
      <c r="J40" s="604">
        <v>14370.702451</v>
      </c>
      <c r="K40" s="615">
        <v>383994.57752193</v>
      </c>
      <c r="L40" s="614">
        <v>25269.301042</v>
      </c>
      <c r="M40" s="614">
        <v>33044.202485</v>
      </c>
      <c r="N40" s="614">
        <v>21140.9040218</v>
      </c>
      <c r="O40" s="614">
        <v>43524.749174</v>
      </c>
      <c r="P40" s="614">
        <v>63613.099519</v>
      </c>
      <c r="Q40" s="614">
        <v>115988.74533921</v>
      </c>
      <c r="R40" s="604">
        <v>81413.57594092</v>
      </c>
      <c r="S40" s="615">
        <v>331427.93220219</v>
      </c>
      <c r="T40" s="614">
        <v>4451.52981624</v>
      </c>
      <c r="U40" s="614">
        <v>120805.7542037</v>
      </c>
      <c r="V40" s="614">
        <v>80366.63452952</v>
      </c>
      <c r="W40" s="604">
        <v>125804.01365273</v>
      </c>
      <c r="X40" s="615">
        <v>4303.97635767</v>
      </c>
      <c r="Y40" s="604">
        <v>998403.397730406</v>
      </c>
      <c r="Z40" s="223"/>
      <c r="AA40" s="38"/>
    </row>
    <row r="41" ht="15.6" spans="1:27">
      <c r="A41" s="339"/>
      <c r="B41" s="343" t="s">
        <v>389</v>
      </c>
      <c r="C41" s="613">
        <v>158410.611511508</v>
      </c>
      <c r="D41" s="614">
        <v>67738.6824868</v>
      </c>
      <c r="E41" s="604">
        <v>90671.929024708</v>
      </c>
      <c r="F41" s="615">
        <v>87278.22785353</v>
      </c>
      <c r="G41" s="606">
        <v>36562.47326263</v>
      </c>
      <c r="H41" s="606">
        <v>31074.587878</v>
      </c>
      <c r="I41" s="606">
        <v>3317.8026697</v>
      </c>
      <c r="J41" s="604">
        <v>16323.36404253</v>
      </c>
      <c r="K41" s="615">
        <v>403655.08638137</v>
      </c>
      <c r="L41" s="614">
        <v>316.73938</v>
      </c>
      <c r="M41" s="614">
        <v>15297.852036</v>
      </c>
      <c r="N41" s="614">
        <v>162245.11388397</v>
      </c>
      <c r="O41" s="614">
        <v>7988.73431794</v>
      </c>
      <c r="P41" s="614">
        <v>21786.477841</v>
      </c>
      <c r="Q41" s="614">
        <v>102057.1919739</v>
      </c>
      <c r="R41" s="604">
        <v>93962.9769485599</v>
      </c>
      <c r="S41" s="615">
        <v>348064.36633714</v>
      </c>
      <c r="T41" s="614">
        <v>965.54726266</v>
      </c>
      <c r="U41" s="614">
        <v>183254.99264527</v>
      </c>
      <c r="V41" s="614">
        <v>36101.37071406</v>
      </c>
      <c r="W41" s="604">
        <v>127742.45571515</v>
      </c>
      <c r="X41" s="615">
        <v>27641.876904258</v>
      </c>
      <c r="Y41" s="604">
        <v>1025050.16898781</v>
      </c>
      <c r="Z41" s="223"/>
      <c r="AA41" s="38"/>
    </row>
    <row r="42" ht="15.6" spans="1:27">
      <c r="A42" s="339"/>
      <c r="B42" s="343" t="s">
        <v>390</v>
      </c>
      <c r="C42" s="613">
        <v>210883.91875214</v>
      </c>
      <c r="D42" s="614">
        <v>57969.58642858</v>
      </c>
      <c r="E42" s="604">
        <v>152914.33232356</v>
      </c>
      <c r="F42" s="615">
        <v>192249.49412604</v>
      </c>
      <c r="G42" s="606">
        <v>84627.593725</v>
      </c>
      <c r="H42" s="606">
        <v>75092.779702</v>
      </c>
      <c r="I42" s="606">
        <v>12627.71546462</v>
      </c>
      <c r="J42" s="604">
        <v>19901.40523404</v>
      </c>
      <c r="K42" s="615">
        <v>283737.889059745</v>
      </c>
      <c r="L42" s="614">
        <v>2298.999613</v>
      </c>
      <c r="M42" s="614">
        <v>44.831937155</v>
      </c>
      <c r="N42" s="614">
        <v>11110.95824365</v>
      </c>
      <c r="O42" s="614">
        <v>45537.1626188</v>
      </c>
      <c r="P42" s="614">
        <v>58167.5132543</v>
      </c>
      <c r="Q42" s="614">
        <v>95330.8188023</v>
      </c>
      <c r="R42" s="604">
        <v>71247.60459054</v>
      </c>
      <c r="S42" s="615">
        <v>479382.530492016</v>
      </c>
      <c r="T42" s="614">
        <v>9266.8073799</v>
      </c>
      <c r="U42" s="614">
        <v>242954.45507071</v>
      </c>
      <c r="V42" s="614">
        <v>40316.340525485</v>
      </c>
      <c r="W42" s="604">
        <v>186844.927515921</v>
      </c>
      <c r="X42" s="615">
        <v>4789.6179007</v>
      </c>
      <c r="Y42" s="604">
        <v>1171043.45033064</v>
      </c>
      <c r="Z42" s="223"/>
      <c r="AA42" s="38"/>
    </row>
    <row r="43" ht="15.6" spans="1:27">
      <c r="A43" s="240">
        <v>2021</v>
      </c>
      <c r="B43" s="343" t="s">
        <v>379</v>
      </c>
      <c r="C43" s="607">
        <v>154689.41659011</v>
      </c>
      <c r="D43" s="604">
        <v>82620.67100918</v>
      </c>
      <c r="E43" s="616">
        <v>72068.74558093</v>
      </c>
      <c r="F43" s="607">
        <v>55487.1146224</v>
      </c>
      <c r="G43" s="604">
        <v>36842.8653062</v>
      </c>
      <c r="H43" s="604">
        <v>10890.774146</v>
      </c>
      <c r="I43" s="604">
        <v>7747.8843762</v>
      </c>
      <c r="J43" s="604">
        <v>5.59079400001065</v>
      </c>
      <c r="K43" s="607">
        <v>311922.856243675</v>
      </c>
      <c r="L43" s="604">
        <v>701.09668048</v>
      </c>
      <c r="M43" s="622">
        <v>23052.965725775</v>
      </c>
      <c r="N43" s="604">
        <v>47949.26450714</v>
      </c>
      <c r="O43" s="604">
        <v>19366.1376326</v>
      </c>
      <c r="P43" s="604">
        <v>34073.5444846</v>
      </c>
      <c r="Q43" s="604">
        <v>93516.5887601</v>
      </c>
      <c r="R43" s="606">
        <v>93263.25845298</v>
      </c>
      <c r="S43" s="607">
        <v>368011.12101948</v>
      </c>
      <c r="T43" s="604">
        <v>13844.3613664</v>
      </c>
      <c r="U43" s="604">
        <v>180802.2383583</v>
      </c>
      <c r="V43" s="604">
        <v>51859.23791251</v>
      </c>
      <c r="W43" s="604">
        <v>121505.28338227</v>
      </c>
      <c r="X43" s="607">
        <v>5088.49896441</v>
      </c>
      <c r="Y43" s="604">
        <v>895199.007440075</v>
      </c>
      <c r="Z43" s="223"/>
      <c r="AA43" s="38"/>
    </row>
    <row r="44" ht="15.6" spans="1:27">
      <c r="A44" s="612"/>
      <c r="B44" s="343" t="s">
        <v>380</v>
      </c>
      <c r="C44" s="607">
        <v>140292.166463664</v>
      </c>
      <c r="D44" s="604">
        <v>92308.602024014</v>
      </c>
      <c r="E44" s="616">
        <v>47983.56443965</v>
      </c>
      <c r="F44" s="607">
        <v>76135.76234356</v>
      </c>
      <c r="G44" s="604">
        <v>27159.43673714</v>
      </c>
      <c r="H44" s="604">
        <v>25331.28623808</v>
      </c>
      <c r="I44" s="604">
        <v>14789.5763752</v>
      </c>
      <c r="J44" s="604">
        <v>8855.46299313998</v>
      </c>
      <c r="K44" s="607">
        <v>373700.85008263</v>
      </c>
      <c r="L44" s="604">
        <v>1501.60024419</v>
      </c>
      <c r="M44" s="622">
        <v>29878.38935525</v>
      </c>
      <c r="N44" s="604">
        <v>57076.44140463</v>
      </c>
      <c r="O44" s="604">
        <v>11502.21221426</v>
      </c>
      <c r="P44" s="604">
        <v>40277.15652298</v>
      </c>
      <c r="Q44" s="604">
        <v>148030.26040344</v>
      </c>
      <c r="R44" s="606">
        <v>85434.7899378799</v>
      </c>
      <c r="S44" s="607">
        <v>393848.605750786</v>
      </c>
      <c r="T44" s="604">
        <v>37891.41733642</v>
      </c>
      <c r="U44" s="604">
        <v>143739.07308219</v>
      </c>
      <c r="V44" s="604">
        <v>60967.835053376</v>
      </c>
      <c r="W44" s="624">
        <v>151250.2802788</v>
      </c>
      <c r="X44" s="607">
        <v>835.34495972</v>
      </c>
      <c r="Y44" s="604">
        <v>984812.72960036</v>
      </c>
      <c r="Z44" s="223"/>
      <c r="AA44" s="38"/>
    </row>
    <row r="45" ht="15.6" spans="1:27">
      <c r="A45" s="612"/>
      <c r="B45" s="343" t="s">
        <v>391</v>
      </c>
      <c r="C45" s="607">
        <v>124705.70260943</v>
      </c>
      <c r="D45" s="604">
        <v>85111.60796462</v>
      </c>
      <c r="E45" s="616">
        <v>39594.09464481</v>
      </c>
      <c r="F45" s="607">
        <v>204598.46947343</v>
      </c>
      <c r="G45" s="604">
        <v>26425.5368059</v>
      </c>
      <c r="H45" s="604">
        <v>40940.25830962</v>
      </c>
      <c r="I45" s="604">
        <v>104276.06850508</v>
      </c>
      <c r="J45" s="604">
        <v>32956.60585283</v>
      </c>
      <c r="K45" s="607">
        <v>345307.57285332</v>
      </c>
      <c r="L45" s="604">
        <v>18550.69042843</v>
      </c>
      <c r="M45" s="622">
        <v>19629.7744818</v>
      </c>
      <c r="N45" s="604">
        <v>64251.72929592</v>
      </c>
      <c r="O45" s="604">
        <v>19532.08562807</v>
      </c>
      <c r="P45" s="604">
        <v>67060.04318384</v>
      </c>
      <c r="Q45" s="604">
        <v>61134.74887436</v>
      </c>
      <c r="R45" s="606">
        <v>95148.5009609</v>
      </c>
      <c r="S45" s="607">
        <v>429573.9849733</v>
      </c>
      <c r="T45" s="604">
        <v>8477.72188753</v>
      </c>
      <c r="U45" s="604">
        <v>190804.40026101</v>
      </c>
      <c r="V45" s="604">
        <v>86418.21497026</v>
      </c>
      <c r="W45" s="604">
        <v>143873.6478545</v>
      </c>
      <c r="X45" s="607">
        <v>734.48768335</v>
      </c>
      <c r="Y45" s="604">
        <v>1104920.21759283</v>
      </c>
      <c r="Z45" s="223"/>
      <c r="AA45" s="38"/>
    </row>
    <row r="46" ht="15.6" spans="1:27">
      <c r="A46" s="612"/>
      <c r="B46" s="343" t="s">
        <v>382</v>
      </c>
      <c r="C46" s="607">
        <v>302662.532248175</v>
      </c>
      <c r="D46" s="604">
        <v>223898.977592175</v>
      </c>
      <c r="E46" s="616">
        <v>78763.554656</v>
      </c>
      <c r="F46" s="607">
        <v>245109.43715111</v>
      </c>
      <c r="G46" s="604">
        <v>67591.45565</v>
      </c>
      <c r="H46" s="604">
        <v>102655.80611261</v>
      </c>
      <c r="I46" s="604">
        <v>23074.173776</v>
      </c>
      <c r="J46" s="604">
        <v>51788.0016125</v>
      </c>
      <c r="K46" s="607">
        <v>483363.55910651</v>
      </c>
      <c r="L46" s="604">
        <v>2329.71578518</v>
      </c>
      <c r="M46" s="622">
        <v>49596.53184605</v>
      </c>
      <c r="N46" s="604">
        <v>131715.41371628</v>
      </c>
      <c r="O46" s="604">
        <v>1481.88764995</v>
      </c>
      <c r="P46" s="604">
        <v>49667.392144</v>
      </c>
      <c r="Q46" s="604">
        <v>163012.61067</v>
      </c>
      <c r="R46" s="606">
        <v>85560.0072950501</v>
      </c>
      <c r="S46" s="607">
        <v>617524.46333453</v>
      </c>
      <c r="T46" s="604">
        <v>6615.489648</v>
      </c>
      <c r="U46" s="604">
        <v>270405.4867685</v>
      </c>
      <c r="V46" s="604">
        <v>30838.54367957</v>
      </c>
      <c r="W46" s="604">
        <v>309664.94323846</v>
      </c>
      <c r="X46" s="607">
        <v>3227.74319431</v>
      </c>
      <c r="Y46" s="604">
        <v>1651887.73503464</v>
      </c>
      <c r="Z46" s="223"/>
      <c r="AA46" s="38"/>
    </row>
    <row r="47" ht="15.6" spans="1:27">
      <c r="A47" s="612"/>
      <c r="B47" s="343" t="s">
        <v>383</v>
      </c>
      <c r="C47" s="607">
        <v>123731.734497893</v>
      </c>
      <c r="D47" s="604">
        <v>74121.890659131</v>
      </c>
      <c r="E47" s="616">
        <v>49609.843838762</v>
      </c>
      <c r="F47" s="607">
        <v>367995.899252495</v>
      </c>
      <c r="G47" s="604">
        <v>168668.878225849</v>
      </c>
      <c r="H47" s="604">
        <v>139127.840436466</v>
      </c>
      <c r="I47" s="604">
        <v>16.89354</v>
      </c>
      <c r="J47" s="604">
        <v>60182.2870501799</v>
      </c>
      <c r="K47" s="607">
        <v>551239.853404336</v>
      </c>
      <c r="L47" s="604">
        <v>1882.668707476</v>
      </c>
      <c r="M47" s="622">
        <v>60914.922951684</v>
      </c>
      <c r="N47" s="604">
        <v>14865.308833157</v>
      </c>
      <c r="O47" s="604">
        <v>35155.785574126</v>
      </c>
      <c r="P47" s="604">
        <v>98703.117297835</v>
      </c>
      <c r="Q47" s="604">
        <v>153489.78534453</v>
      </c>
      <c r="R47" s="606">
        <v>186228.264695528</v>
      </c>
      <c r="S47" s="607">
        <v>525528.114133663</v>
      </c>
      <c r="T47" s="604">
        <v>7189.76494734</v>
      </c>
      <c r="U47" s="604">
        <v>314253.224357296</v>
      </c>
      <c r="V47" s="604">
        <v>24322.311750554</v>
      </c>
      <c r="W47" s="604">
        <v>179762.813078473</v>
      </c>
      <c r="X47" s="607">
        <v>7442.752110491</v>
      </c>
      <c r="Y47" s="604">
        <v>1575938.35339888</v>
      </c>
      <c r="Z47" s="223"/>
      <c r="AA47" s="38"/>
    </row>
    <row r="48" ht="15.6" spans="1:27">
      <c r="A48" s="612"/>
      <c r="B48" s="343" t="s">
        <v>384</v>
      </c>
      <c r="C48" s="607">
        <v>116917.848255709</v>
      </c>
      <c r="D48" s="604">
        <v>76258.724697395</v>
      </c>
      <c r="E48" s="616">
        <v>40659.123558314</v>
      </c>
      <c r="F48" s="607">
        <v>192710.77467384</v>
      </c>
      <c r="G48" s="604">
        <v>20102.81269316</v>
      </c>
      <c r="H48" s="604">
        <v>113300.34126836</v>
      </c>
      <c r="I48" s="604">
        <v>25365.814445</v>
      </c>
      <c r="J48" s="604">
        <v>33941.80626732</v>
      </c>
      <c r="K48" s="607">
        <v>773657.866068768</v>
      </c>
      <c r="L48" s="604">
        <v>60614.775784161</v>
      </c>
      <c r="M48" s="622">
        <v>71123.220781609</v>
      </c>
      <c r="N48" s="604">
        <v>151291.98301401</v>
      </c>
      <c r="O48" s="604">
        <v>32903.85910814</v>
      </c>
      <c r="P48" s="604">
        <v>52112.327206321</v>
      </c>
      <c r="Q48" s="604">
        <v>196653.75160159</v>
      </c>
      <c r="R48" s="606">
        <v>208957.948572937</v>
      </c>
      <c r="S48" s="607">
        <v>696332.39260725</v>
      </c>
      <c r="T48" s="604">
        <v>9952.6069366</v>
      </c>
      <c r="U48" s="604">
        <v>362940.653759982</v>
      </c>
      <c r="V48" s="604">
        <v>130531.0285709</v>
      </c>
      <c r="W48" s="604">
        <v>192908.103339768</v>
      </c>
      <c r="X48" s="607">
        <v>12237.7544403</v>
      </c>
      <c r="Y48" s="604">
        <v>1791856.63604587</v>
      </c>
      <c r="Z48" s="223"/>
      <c r="AA48" s="38"/>
    </row>
    <row r="49" ht="15.6" spans="1:27">
      <c r="A49" s="612"/>
      <c r="B49" s="343" t="s">
        <v>385</v>
      </c>
      <c r="C49" s="607">
        <v>143088.015359257</v>
      </c>
      <c r="D49" s="604">
        <v>109990.69815074</v>
      </c>
      <c r="E49" s="616">
        <v>33097.317208517</v>
      </c>
      <c r="F49" s="607">
        <v>261272.214744814</v>
      </c>
      <c r="G49" s="604">
        <v>105403.669058878</v>
      </c>
      <c r="H49" s="604">
        <v>88431.66209391</v>
      </c>
      <c r="I49" s="604">
        <v>7486.762926</v>
      </c>
      <c r="J49" s="604">
        <v>59950.120666026</v>
      </c>
      <c r="K49" s="607">
        <v>715961.798234187</v>
      </c>
      <c r="L49" s="604">
        <v>1826.46676348</v>
      </c>
      <c r="M49" s="622">
        <v>273.61559864</v>
      </c>
      <c r="N49" s="604">
        <v>34428.76291684</v>
      </c>
      <c r="O49" s="604">
        <v>183254.141824462</v>
      </c>
      <c r="P49" s="604">
        <v>88093.27288299</v>
      </c>
      <c r="Q49" s="604">
        <v>289705.248705141</v>
      </c>
      <c r="R49" s="606">
        <v>118380.289542634</v>
      </c>
      <c r="S49" s="607">
        <v>447405.521099584</v>
      </c>
      <c r="T49" s="604">
        <v>5436.22486148</v>
      </c>
      <c r="U49" s="604">
        <v>281413.466835052</v>
      </c>
      <c r="V49" s="604">
        <v>29599.964337228</v>
      </c>
      <c r="W49" s="604">
        <v>130955.865065824</v>
      </c>
      <c r="X49" s="607">
        <v>109470.25411513</v>
      </c>
      <c r="Y49" s="604">
        <v>1677197.80355297</v>
      </c>
      <c r="Z49" s="223"/>
      <c r="AA49" s="38"/>
    </row>
    <row r="50" ht="15.6" spans="1:27">
      <c r="A50" s="612"/>
      <c r="B50" s="343" t="s">
        <v>386</v>
      </c>
      <c r="C50" s="607">
        <v>141128.398740359</v>
      </c>
      <c r="D50" s="604">
        <v>80425.999100409</v>
      </c>
      <c r="E50" s="616">
        <v>60702.39963995</v>
      </c>
      <c r="F50" s="607">
        <v>143197.775624264</v>
      </c>
      <c r="G50" s="604">
        <v>33827.787969026</v>
      </c>
      <c r="H50" s="604">
        <v>55961.759685334</v>
      </c>
      <c r="I50" s="604">
        <v>43384.885226</v>
      </c>
      <c r="J50" s="604">
        <v>10023.342743904</v>
      </c>
      <c r="K50" s="607">
        <v>597407.029005151</v>
      </c>
      <c r="L50" s="604">
        <v>57964.2473874</v>
      </c>
      <c r="M50" s="622">
        <v>463.650907205</v>
      </c>
      <c r="N50" s="604">
        <v>59420.034416386</v>
      </c>
      <c r="O50" s="604">
        <v>95774.73185486</v>
      </c>
      <c r="P50" s="604">
        <v>99759.660928182</v>
      </c>
      <c r="Q50" s="604">
        <v>151326.860653098</v>
      </c>
      <c r="R50" s="606">
        <v>132697.84285802</v>
      </c>
      <c r="S50" s="607">
        <v>532817.874730934</v>
      </c>
      <c r="T50" s="604">
        <v>13160.17245662</v>
      </c>
      <c r="U50" s="604">
        <v>278658.621119186</v>
      </c>
      <c r="V50" s="604">
        <v>60772.91789338</v>
      </c>
      <c r="W50" s="604">
        <v>180226.163261748</v>
      </c>
      <c r="X50" s="607">
        <v>6553.52872788</v>
      </c>
      <c r="Y50" s="604">
        <v>1421104.60682859</v>
      </c>
      <c r="Z50" s="223"/>
      <c r="AA50" s="38"/>
    </row>
    <row r="51" ht="15.6" spans="1:27">
      <c r="A51" s="612"/>
      <c r="B51" s="343" t="s">
        <v>387</v>
      </c>
      <c r="C51" s="607">
        <v>392345.088240115</v>
      </c>
      <c r="D51" s="604">
        <v>166248.283236576</v>
      </c>
      <c r="E51" s="616">
        <v>226096.805003539</v>
      </c>
      <c r="F51" s="607">
        <v>221209.023324938</v>
      </c>
      <c r="G51" s="604">
        <v>90102.8607908</v>
      </c>
      <c r="H51" s="604">
        <v>60403.98725166</v>
      </c>
      <c r="I51" s="604">
        <v>55358.932895</v>
      </c>
      <c r="J51" s="604">
        <v>15343.242387478</v>
      </c>
      <c r="K51" s="607">
        <v>914649.164595057</v>
      </c>
      <c r="L51" s="604">
        <v>93123.708838301</v>
      </c>
      <c r="M51" s="622">
        <v>64999.0011615</v>
      </c>
      <c r="N51" s="604">
        <v>148272.6662984</v>
      </c>
      <c r="O51" s="604">
        <v>167008.08519306</v>
      </c>
      <c r="P51" s="604">
        <v>175446.30549627</v>
      </c>
      <c r="Q51" s="604">
        <v>185974.991385086</v>
      </c>
      <c r="R51" s="606">
        <v>79824.4062224401</v>
      </c>
      <c r="S51" s="607">
        <v>500357.65878978</v>
      </c>
      <c r="T51" s="604">
        <v>7680.70653947</v>
      </c>
      <c r="U51" s="604">
        <v>198063.461255652</v>
      </c>
      <c r="V51" s="604">
        <v>19523.036634652</v>
      </c>
      <c r="W51" s="604">
        <v>275090.454360006</v>
      </c>
      <c r="X51" s="607">
        <v>9691.80343254</v>
      </c>
      <c r="Y51" s="604">
        <v>2038252.73838243</v>
      </c>
      <c r="Z51" s="223"/>
      <c r="AA51" s="38"/>
    </row>
    <row r="52" ht="15.6" spans="1:27">
      <c r="A52" s="617"/>
      <c r="B52" s="343" t="s">
        <v>388</v>
      </c>
      <c r="C52" s="607">
        <v>294655.052281159</v>
      </c>
      <c r="D52" s="613">
        <v>61335.677089409</v>
      </c>
      <c r="E52" s="616">
        <v>233319.37519175</v>
      </c>
      <c r="F52" s="607">
        <v>132095.794481084</v>
      </c>
      <c r="G52" s="618">
        <v>71600.817926834</v>
      </c>
      <c r="H52" s="618">
        <v>35682.54560265</v>
      </c>
      <c r="I52" s="607">
        <v>22974.575462</v>
      </c>
      <c r="J52" s="604">
        <v>1837.85548960001</v>
      </c>
      <c r="K52" s="607">
        <v>894540.976778739</v>
      </c>
      <c r="L52" s="618">
        <v>36995.005593724</v>
      </c>
      <c r="M52" s="613">
        <v>67219.262162451</v>
      </c>
      <c r="N52" s="607">
        <v>165696.23968742</v>
      </c>
      <c r="O52" s="607">
        <v>15287.1026944</v>
      </c>
      <c r="P52" s="607">
        <v>142805.34125854</v>
      </c>
      <c r="Q52" s="607">
        <v>361231.28524668</v>
      </c>
      <c r="R52" s="606">
        <v>105306.740135524</v>
      </c>
      <c r="S52" s="607">
        <v>654777.195859528</v>
      </c>
      <c r="T52" s="607">
        <v>4476.92468036</v>
      </c>
      <c r="U52" s="607">
        <v>365095.563736988</v>
      </c>
      <c r="V52" s="607">
        <v>89590.019987428</v>
      </c>
      <c r="W52" s="604">
        <v>195614.687454752</v>
      </c>
      <c r="X52" s="607">
        <v>1110.33412091</v>
      </c>
      <c r="Y52" s="604">
        <v>1977179.35352142</v>
      </c>
      <c r="Z52" s="223"/>
      <c r="AA52" s="38"/>
    </row>
    <row r="53" ht="15.6" spans="1:27">
      <c r="A53" s="617"/>
      <c r="B53" s="343" t="s">
        <v>389</v>
      </c>
      <c r="C53" s="607">
        <v>353333.45275058</v>
      </c>
      <c r="D53" s="613">
        <v>133595.198516611</v>
      </c>
      <c r="E53" s="616">
        <v>219738.254233969</v>
      </c>
      <c r="F53" s="607">
        <v>383114.002239817</v>
      </c>
      <c r="G53" s="618">
        <v>150507.096186729</v>
      </c>
      <c r="H53" s="618">
        <v>119937.748106905</v>
      </c>
      <c r="I53" s="607">
        <v>111184.684287399</v>
      </c>
      <c r="J53" s="604">
        <v>1484.473658784</v>
      </c>
      <c r="K53" s="607">
        <v>707847.648093591</v>
      </c>
      <c r="L53" s="618">
        <v>43083.285870884</v>
      </c>
      <c r="M53" s="613">
        <v>29548.826858254</v>
      </c>
      <c r="N53" s="607">
        <v>92142.799881001</v>
      </c>
      <c r="O53" s="607">
        <v>69760.624295403</v>
      </c>
      <c r="P53" s="607">
        <v>155111.208899587</v>
      </c>
      <c r="Q53" s="607">
        <v>253130.890941754</v>
      </c>
      <c r="R53" s="606">
        <v>65070.0113467079</v>
      </c>
      <c r="S53" s="607">
        <v>616877.839868557</v>
      </c>
      <c r="T53" s="607">
        <v>19065.69991414</v>
      </c>
      <c r="U53" s="607">
        <v>254699.223511902</v>
      </c>
      <c r="V53" s="607">
        <v>81606.085691003</v>
      </c>
      <c r="W53" s="604">
        <v>261506.830751512</v>
      </c>
      <c r="X53" s="607">
        <v>3940.086713956</v>
      </c>
      <c r="Y53" s="604">
        <v>2065113.0296665</v>
      </c>
      <c r="Z53" s="223"/>
      <c r="AA53" s="38"/>
    </row>
    <row r="54" ht="15.6" spans="1:27">
      <c r="A54" s="617"/>
      <c r="B54" s="343" t="s">
        <v>390</v>
      </c>
      <c r="C54" s="607">
        <v>125839.339067916</v>
      </c>
      <c r="D54" s="613">
        <v>55590.925278033</v>
      </c>
      <c r="E54" s="616">
        <v>70248.413789883</v>
      </c>
      <c r="F54" s="607">
        <v>187528.632825501</v>
      </c>
      <c r="G54" s="618">
        <v>2112.000753508</v>
      </c>
      <c r="H54" s="618">
        <v>65276.6282455</v>
      </c>
      <c r="I54" s="607">
        <v>81137.201989408</v>
      </c>
      <c r="J54" s="604">
        <v>39002.801837085</v>
      </c>
      <c r="K54" s="607">
        <v>805999.7909992</v>
      </c>
      <c r="L54" s="618">
        <v>12130.11553069</v>
      </c>
      <c r="M54" s="613">
        <v>31879.695141768</v>
      </c>
      <c r="N54" s="607">
        <v>168015.192857115</v>
      </c>
      <c r="O54" s="607">
        <v>108145.909948767</v>
      </c>
      <c r="P54" s="607">
        <v>187434.70484636</v>
      </c>
      <c r="Q54" s="607">
        <v>174870.62758686</v>
      </c>
      <c r="R54" s="606">
        <v>123523.54508764</v>
      </c>
      <c r="S54" s="607">
        <v>603902.846485347</v>
      </c>
      <c r="T54" s="607">
        <v>20108.90349488</v>
      </c>
      <c r="U54" s="607">
        <v>255067.24260677</v>
      </c>
      <c r="V54" s="607">
        <v>72973.552181679</v>
      </c>
      <c r="W54" s="604">
        <v>255753.148202018</v>
      </c>
      <c r="X54" s="607">
        <v>1055.89332991</v>
      </c>
      <c r="Y54" s="604">
        <v>1724326.50270787</v>
      </c>
      <c r="Z54" s="223"/>
      <c r="AA54" s="38"/>
    </row>
    <row r="55" ht="15.6" spans="1:27">
      <c r="A55" s="619">
        <v>2022</v>
      </c>
      <c r="B55" s="343" t="s">
        <v>379</v>
      </c>
      <c r="C55" s="607">
        <v>146348.678758522</v>
      </c>
      <c r="D55" s="613">
        <v>135801.392134108</v>
      </c>
      <c r="E55" s="616">
        <v>10547.286624414</v>
      </c>
      <c r="F55" s="607">
        <v>256722.674478591</v>
      </c>
      <c r="G55" s="618">
        <v>91530.804139743</v>
      </c>
      <c r="H55" s="618">
        <v>73271.354655552</v>
      </c>
      <c r="I55" s="607">
        <v>90759.946797784</v>
      </c>
      <c r="J55" s="604">
        <v>1160.56888551201</v>
      </c>
      <c r="K55" s="607">
        <v>713943.189283634</v>
      </c>
      <c r="L55" s="618">
        <v>10299.363193363</v>
      </c>
      <c r="M55" s="613">
        <v>41176.129304741</v>
      </c>
      <c r="N55" s="607">
        <v>184800.544762307</v>
      </c>
      <c r="O55" s="607">
        <v>75969.817869886</v>
      </c>
      <c r="P55" s="607">
        <v>74684.566466726</v>
      </c>
      <c r="Q55" s="607">
        <v>125352.697352577</v>
      </c>
      <c r="R55" s="606">
        <v>201660.070334034</v>
      </c>
      <c r="S55" s="607">
        <v>1080231.17415579</v>
      </c>
      <c r="T55" s="607">
        <v>21092.82655565</v>
      </c>
      <c r="U55" s="607">
        <v>488591.673446944</v>
      </c>
      <c r="V55" s="607">
        <v>99408.753126708</v>
      </c>
      <c r="W55" s="604">
        <v>471137.921026484</v>
      </c>
      <c r="X55" s="607">
        <v>679.55112365</v>
      </c>
      <c r="Y55" s="604">
        <v>2197925.26780018</v>
      </c>
      <c r="Z55" s="223"/>
      <c r="AA55" s="38"/>
    </row>
    <row r="56" ht="15.6" spans="1:27">
      <c r="A56" s="617"/>
      <c r="B56" s="343" t="s">
        <v>380</v>
      </c>
      <c r="C56" s="607">
        <v>36976.357501507</v>
      </c>
      <c r="D56" s="613">
        <v>27875.342197581</v>
      </c>
      <c r="E56" s="616">
        <v>9101.015303926</v>
      </c>
      <c r="F56" s="607">
        <v>195619.867912907</v>
      </c>
      <c r="G56" s="618">
        <v>108550.960936592</v>
      </c>
      <c r="H56" s="618">
        <v>41467.919357039</v>
      </c>
      <c r="I56" s="607">
        <v>32948.909809935</v>
      </c>
      <c r="J56" s="604">
        <v>12652.077809341</v>
      </c>
      <c r="K56" s="607">
        <v>1030206.43233841</v>
      </c>
      <c r="L56" s="618">
        <v>37252.02117436</v>
      </c>
      <c r="M56" s="613">
        <v>76165.475529662</v>
      </c>
      <c r="N56" s="607">
        <v>196661.438051252</v>
      </c>
      <c r="O56" s="607">
        <v>122437.89479386</v>
      </c>
      <c r="P56" s="607">
        <v>125058.97315912</v>
      </c>
      <c r="Q56" s="607">
        <v>226413.22314836</v>
      </c>
      <c r="R56" s="606">
        <v>246217.4064818</v>
      </c>
      <c r="S56" s="607">
        <v>829953.864853447</v>
      </c>
      <c r="T56" s="607">
        <v>17275.06412042</v>
      </c>
      <c r="U56" s="607">
        <v>347904.449743138</v>
      </c>
      <c r="V56" s="607">
        <v>30345.588176481</v>
      </c>
      <c r="W56" s="604">
        <v>434428.762813408</v>
      </c>
      <c r="X56" s="607">
        <v>1038.02824801</v>
      </c>
      <c r="Y56" s="604">
        <v>2093794.55085429</v>
      </c>
      <c r="Z56" s="223"/>
      <c r="AA56" s="38"/>
    </row>
    <row r="57" ht="15.6" spans="1:27">
      <c r="A57" s="617"/>
      <c r="B57" s="343" t="s">
        <v>391</v>
      </c>
      <c r="C57" s="607">
        <v>261093.101121049</v>
      </c>
      <c r="D57" s="613">
        <v>167619.263906564</v>
      </c>
      <c r="E57" s="616">
        <v>93473.837214485</v>
      </c>
      <c r="F57" s="607">
        <v>443526.937301812</v>
      </c>
      <c r="G57" s="618">
        <v>172645.950511903</v>
      </c>
      <c r="H57" s="618">
        <v>146440.770576696</v>
      </c>
      <c r="I57" s="607">
        <v>88326.250749628</v>
      </c>
      <c r="J57" s="604">
        <v>36113.9654635849</v>
      </c>
      <c r="K57" s="607">
        <v>1301922.74882199</v>
      </c>
      <c r="L57" s="618">
        <v>53891.297832284</v>
      </c>
      <c r="M57" s="613">
        <v>75924.032242454</v>
      </c>
      <c r="N57" s="607">
        <v>279127.005025501</v>
      </c>
      <c r="O57" s="607">
        <v>167774.726891447</v>
      </c>
      <c r="P57" s="607">
        <v>139030.55283907</v>
      </c>
      <c r="Q57" s="607">
        <v>325925.640168122</v>
      </c>
      <c r="R57" s="606">
        <v>260249.493823113</v>
      </c>
      <c r="S57" s="607">
        <v>803014.673353068</v>
      </c>
      <c r="T57" s="607">
        <v>10142.1722061</v>
      </c>
      <c r="U57" s="607">
        <v>340272.76267225</v>
      </c>
      <c r="V57" s="607">
        <v>19229.982688733</v>
      </c>
      <c r="W57" s="604">
        <v>433369.755785985</v>
      </c>
      <c r="X57" s="607">
        <v>836.34752827</v>
      </c>
      <c r="Y57" s="604">
        <v>2810393.80812619</v>
      </c>
      <c r="Z57" s="223"/>
      <c r="AA57" s="38"/>
    </row>
    <row r="58" ht="15.6" spans="1:27">
      <c r="A58" s="617"/>
      <c r="B58" s="343" t="s">
        <v>382</v>
      </c>
      <c r="C58" s="607">
        <v>106250.92120757</v>
      </c>
      <c r="D58" s="607">
        <v>77035.587970913</v>
      </c>
      <c r="E58" s="616">
        <v>29215.333236657</v>
      </c>
      <c r="F58" s="620">
        <v>280918.887390228</v>
      </c>
      <c r="G58" s="620">
        <v>161726.166360095</v>
      </c>
      <c r="H58" s="620">
        <v>42913.88604487</v>
      </c>
      <c r="I58" s="620">
        <v>14666.405265</v>
      </c>
      <c r="J58" s="604">
        <v>61612.4297202631</v>
      </c>
      <c r="K58" s="620">
        <v>1037171.55127031</v>
      </c>
      <c r="L58" s="620">
        <v>4798.542708914</v>
      </c>
      <c r="M58" s="620">
        <v>53249.268071743</v>
      </c>
      <c r="N58" s="620">
        <v>488635.063828046</v>
      </c>
      <c r="O58" s="620">
        <v>26173.351852737</v>
      </c>
      <c r="P58" s="620">
        <v>104644.05147014</v>
      </c>
      <c r="Q58" s="620">
        <v>187337.686226256</v>
      </c>
      <c r="R58" s="606">
        <v>172333.587112479</v>
      </c>
      <c r="S58" s="620">
        <v>837056.79125827</v>
      </c>
      <c r="T58" s="620">
        <v>19770.87151486</v>
      </c>
      <c r="U58" s="620">
        <v>529851.766732898</v>
      </c>
      <c r="V58" s="620">
        <v>10434.862850389</v>
      </c>
      <c r="W58" s="604">
        <v>276999.290160123</v>
      </c>
      <c r="X58" s="620">
        <v>709.21331373</v>
      </c>
      <c r="Y58" s="607">
        <v>2262107.36444011</v>
      </c>
      <c r="Z58" s="223"/>
      <c r="AA58" s="38"/>
    </row>
    <row r="59" ht="15.6" spans="1:27">
      <c r="A59" s="617"/>
      <c r="B59" s="343" t="s">
        <v>383</v>
      </c>
      <c r="C59" s="607">
        <v>288172.439826964</v>
      </c>
      <c r="D59" s="607">
        <v>232945.345518315</v>
      </c>
      <c r="E59" s="616">
        <v>55227.094308649</v>
      </c>
      <c r="F59" s="620">
        <v>465797.839639954</v>
      </c>
      <c r="G59" s="620">
        <v>297780.955860003</v>
      </c>
      <c r="H59" s="620">
        <v>82316.88427842</v>
      </c>
      <c r="I59" s="620">
        <v>30496.705467943</v>
      </c>
      <c r="J59" s="604">
        <v>55203.294033588</v>
      </c>
      <c r="K59" s="620">
        <v>1236547.03718625</v>
      </c>
      <c r="L59" s="620">
        <v>52121.259471678</v>
      </c>
      <c r="M59" s="620">
        <v>48714.200965487</v>
      </c>
      <c r="N59" s="620">
        <v>239534.86662588</v>
      </c>
      <c r="O59" s="620">
        <v>131333.578495054</v>
      </c>
      <c r="P59" s="620">
        <v>72015.911994402</v>
      </c>
      <c r="Q59" s="620">
        <v>485681.666094525</v>
      </c>
      <c r="R59" s="606">
        <v>207145.553539228</v>
      </c>
      <c r="S59" s="620">
        <v>641220.907158919</v>
      </c>
      <c r="T59" s="620">
        <v>13453.545967042</v>
      </c>
      <c r="U59" s="620">
        <v>260378.298920561</v>
      </c>
      <c r="V59" s="620">
        <v>49183.002239015</v>
      </c>
      <c r="W59" s="604">
        <v>318206.060032301</v>
      </c>
      <c r="X59" s="620">
        <v>562.1071781</v>
      </c>
      <c r="Y59" s="607">
        <v>2632300.33099019</v>
      </c>
      <c r="Z59" s="223"/>
      <c r="AA59" s="38"/>
    </row>
    <row r="60" ht="15.6" spans="1:27">
      <c r="A60" s="617"/>
      <c r="B60" s="343" t="s">
        <v>384</v>
      </c>
      <c r="C60" s="607">
        <v>65209.189782132</v>
      </c>
      <c r="D60" s="607">
        <v>43957.246559853</v>
      </c>
      <c r="E60" s="616">
        <v>21251.943222279</v>
      </c>
      <c r="F60" s="620">
        <v>448957.418770318</v>
      </c>
      <c r="G60" s="620">
        <v>201686.438891212</v>
      </c>
      <c r="H60" s="620">
        <v>104509.278048382</v>
      </c>
      <c r="I60" s="620">
        <v>73735.7629475</v>
      </c>
      <c r="J60" s="604">
        <v>69025.938883224</v>
      </c>
      <c r="K60" s="620">
        <v>1006795.51994497</v>
      </c>
      <c r="L60" s="620">
        <v>3305.973271932</v>
      </c>
      <c r="M60" s="620">
        <v>50705.872780384</v>
      </c>
      <c r="N60" s="620">
        <v>186294.23800451</v>
      </c>
      <c r="O60" s="620">
        <v>103375.840200161</v>
      </c>
      <c r="P60" s="620">
        <v>109121.054887</v>
      </c>
      <c r="Q60" s="620">
        <v>362531.682571382</v>
      </c>
      <c r="R60" s="606">
        <v>191460.858229606</v>
      </c>
      <c r="S60" s="620">
        <v>948474.645871981</v>
      </c>
      <c r="T60" s="620">
        <v>75997.22201244</v>
      </c>
      <c r="U60" s="620">
        <v>309291.422160156</v>
      </c>
      <c r="V60" s="620">
        <v>11495.867940872</v>
      </c>
      <c r="W60" s="604">
        <v>551690.133758513</v>
      </c>
      <c r="X60" s="620">
        <v>37042.35392172</v>
      </c>
      <c r="Y60" s="607">
        <v>2506479.12829113</v>
      </c>
      <c r="Z60" s="223"/>
      <c r="AA60" s="38"/>
    </row>
    <row r="61" ht="15.6" spans="1:27">
      <c r="A61" s="617"/>
      <c r="B61" s="343" t="s">
        <v>385</v>
      </c>
      <c r="C61" s="607">
        <v>365197.192977644</v>
      </c>
      <c r="D61" s="607">
        <v>229577.316339675</v>
      </c>
      <c r="E61" s="616">
        <v>135619.876637969</v>
      </c>
      <c r="F61" s="620">
        <v>315378.235197078</v>
      </c>
      <c r="G61" s="620">
        <v>155575.601953844</v>
      </c>
      <c r="H61" s="620">
        <v>94760.94407738</v>
      </c>
      <c r="I61" s="620">
        <v>38261.612928</v>
      </c>
      <c r="J61" s="604">
        <v>26780.076237854</v>
      </c>
      <c r="K61" s="620">
        <v>993600.925484973</v>
      </c>
      <c r="L61" s="620">
        <v>3319.291716871</v>
      </c>
      <c r="M61" s="620">
        <v>73957.22096935</v>
      </c>
      <c r="N61" s="620">
        <v>132397.950306653</v>
      </c>
      <c r="O61" s="620">
        <v>2519.636070907</v>
      </c>
      <c r="P61" s="620">
        <v>123688.69728967</v>
      </c>
      <c r="Q61" s="620">
        <v>369238.33084176</v>
      </c>
      <c r="R61" s="606">
        <v>288479.798289762</v>
      </c>
      <c r="S61" s="620">
        <v>502815.194636452</v>
      </c>
      <c r="T61" s="620">
        <v>46992.83734963</v>
      </c>
      <c r="U61" s="620">
        <v>104192.128732375</v>
      </c>
      <c r="V61" s="620">
        <v>7992.334882331</v>
      </c>
      <c r="W61" s="604">
        <v>343637.893672116</v>
      </c>
      <c r="X61" s="620">
        <v>763.18359572</v>
      </c>
      <c r="Y61" s="607">
        <v>2177754.73189187</v>
      </c>
      <c r="Z61" s="223"/>
      <c r="AA61" s="38"/>
    </row>
    <row r="62" ht="15.6" spans="1:27">
      <c r="A62" s="617"/>
      <c r="B62" s="343" t="s">
        <v>386</v>
      </c>
      <c r="C62" s="607">
        <v>216977.454705293</v>
      </c>
      <c r="D62" s="607">
        <v>160705.648452179</v>
      </c>
      <c r="E62" s="616">
        <v>56271.806253114</v>
      </c>
      <c r="F62" s="620">
        <v>223420.95525156</v>
      </c>
      <c r="G62" s="620">
        <v>99413.760640978</v>
      </c>
      <c r="H62" s="620">
        <v>45350.370491402</v>
      </c>
      <c r="I62" s="620">
        <v>66411.553442</v>
      </c>
      <c r="J62" s="604">
        <v>12245.27067718</v>
      </c>
      <c r="K62" s="620">
        <v>793462.882941826</v>
      </c>
      <c r="L62" s="620">
        <v>2178.28540156</v>
      </c>
      <c r="M62" s="620">
        <v>47743.313556249</v>
      </c>
      <c r="N62" s="620">
        <v>135188.97126256</v>
      </c>
      <c r="O62" s="620">
        <v>90962.01636066</v>
      </c>
      <c r="P62" s="620">
        <v>143644.383392099</v>
      </c>
      <c r="Q62" s="620">
        <v>234252.227152463</v>
      </c>
      <c r="R62" s="606">
        <v>139493.685816235</v>
      </c>
      <c r="S62" s="620">
        <v>694170.365101154</v>
      </c>
      <c r="T62" s="620">
        <v>32951.41461239</v>
      </c>
      <c r="U62" s="620">
        <v>230462.870486461</v>
      </c>
      <c r="V62" s="620">
        <v>9409.475135881</v>
      </c>
      <c r="W62" s="604">
        <v>421346.604866422</v>
      </c>
      <c r="X62" s="620">
        <v>29334.019593234</v>
      </c>
      <c r="Y62" s="607">
        <v>1957365.67759307</v>
      </c>
      <c r="Z62" s="223"/>
      <c r="AA62" s="38"/>
    </row>
    <row r="63" ht="15.6" spans="1:27">
      <c r="A63" s="617"/>
      <c r="B63" s="343" t="s">
        <v>387</v>
      </c>
      <c r="C63" s="607">
        <v>230686.681136119</v>
      </c>
      <c r="D63" s="607">
        <v>117664.380923759</v>
      </c>
      <c r="E63" s="616">
        <v>113022.30021236</v>
      </c>
      <c r="F63" s="620">
        <v>184496.232753083</v>
      </c>
      <c r="G63" s="620">
        <v>80958.875622152</v>
      </c>
      <c r="H63" s="620">
        <v>704.68631774</v>
      </c>
      <c r="I63" s="620">
        <v>28287.254412902</v>
      </c>
      <c r="J63" s="604">
        <v>74545.416400289</v>
      </c>
      <c r="K63" s="620">
        <v>832901.62073513</v>
      </c>
      <c r="L63" s="620">
        <v>36603.266327895</v>
      </c>
      <c r="M63" s="620">
        <v>5285.627828852</v>
      </c>
      <c r="N63" s="620">
        <v>152818.55781097</v>
      </c>
      <c r="O63" s="620">
        <v>119356.60141446</v>
      </c>
      <c r="P63" s="620">
        <v>163070.85803733</v>
      </c>
      <c r="Q63" s="620">
        <v>270130.193070124</v>
      </c>
      <c r="R63" s="606">
        <v>85636.516245499</v>
      </c>
      <c r="S63" s="620">
        <v>550499.244567322</v>
      </c>
      <c r="T63" s="620">
        <v>20004.276130355</v>
      </c>
      <c r="U63" s="620">
        <v>284569.691960001</v>
      </c>
      <c r="V63" s="620">
        <v>41218.508891475</v>
      </c>
      <c r="W63" s="604">
        <v>204706.767585491</v>
      </c>
      <c r="X63" s="620">
        <v>441.89158795</v>
      </c>
      <c r="Y63" s="607">
        <v>1799025.6707796</v>
      </c>
      <c r="Z63" s="223"/>
      <c r="AA63" s="38"/>
    </row>
    <row r="64" ht="15.6" spans="1:27">
      <c r="A64" s="617"/>
      <c r="B64" s="621" t="s">
        <v>388</v>
      </c>
      <c r="C64" s="607">
        <v>350596.75067828</v>
      </c>
      <c r="D64" s="607">
        <v>233654.73286059</v>
      </c>
      <c r="E64" s="620">
        <v>116942.01781769</v>
      </c>
      <c r="F64" s="620">
        <v>323607.61048578</v>
      </c>
      <c r="G64" s="620">
        <v>93664.63035771</v>
      </c>
      <c r="H64" s="620">
        <v>67341.22854012</v>
      </c>
      <c r="I64" s="620">
        <v>113183.92155296</v>
      </c>
      <c r="J64" s="620">
        <v>49417.83003499</v>
      </c>
      <c r="K64" s="620">
        <v>923296.71408829</v>
      </c>
      <c r="L64" s="620">
        <v>43447.01414574</v>
      </c>
      <c r="M64" s="620">
        <v>16259.20647638</v>
      </c>
      <c r="N64" s="620">
        <v>161240.98995876</v>
      </c>
      <c r="O64" s="620">
        <v>45602.01706533</v>
      </c>
      <c r="P64" s="620">
        <v>199226.61995447</v>
      </c>
      <c r="Q64" s="620">
        <v>242813.27270457</v>
      </c>
      <c r="R64" s="620">
        <v>214707.59378304</v>
      </c>
      <c r="S64" s="620">
        <v>444165.28052075</v>
      </c>
      <c r="T64" s="620">
        <v>16954.4632995</v>
      </c>
      <c r="U64" s="620">
        <v>127734.60281771</v>
      </c>
      <c r="V64" s="620">
        <v>16984.70769885</v>
      </c>
      <c r="W64" s="604">
        <v>282491.50670469</v>
      </c>
      <c r="X64" s="620">
        <v>39578.27622766</v>
      </c>
      <c r="Y64" s="607">
        <v>2081244.63200076</v>
      </c>
      <c r="Z64" s="223"/>
      <c r="AA64" s="38"/>
    </row>
    <row r="65" ht="15.6" spans="1:27">
      <c r="A65" s="617"/>
      <c r="B65" s="621" t="s">
        <v>389</v>
      </c>
      <c r="C65" s="607">
        <v>249175.76787122</v>
      </c>
      <c r="D65" s="607">
        <v>160983.33756223</v>
      </c>
      <c r="E65" s="620">
        <v>88192.43030899</v>
      </c>
      <c r="F65" s="620">
        <v>386125.47665877</v>
      </c>
      <c r="G65" s="620">
        <v>165964.3002159</v>
      </c>
      <c r="H65" s="620">
        <v>30044.69007764</v>
      </c>
      <c r="I65" s="620">
        <v>142576.79929944</v>
      </c>
      <c r="J65" s="620">
        <v>47539.68706579</v>
      </c>
      <c r="K65" s="620">
        <v>845854.82147184</v>
      </c>
      <c r="L65" s="620">
        <v>46206.77973975</v>
      </c>
      <c r="M65" s="620">
        <v>41884.30646389</v>
      </c>
      <c r="N65" s="620">
        <v>195983.20366278</v>
      </c>
      <c r="O65" s="620">
        <v>63300.93696201</v>
      </c>
      <c r="P65" s="620">
        <v>96683.83064694</v>
      </c>
      <c r="Q65" s="620">
        <v>168491.98289317</v>
      </c>
      <c r="R65" s="620">
        <v>233303.7811033</v>
      </c>
      <c r="S65" s="620">
        <v>443547.12508113</v>
      </c>
      <c r="T65" s="620">
        <v>29739.86373234</v>
      </c>
      <c r="U65" s="620">
        <v>142301.54473704</v>
      </c>
      <c r="V65" s="620">
        <v>26503.1412965</v>
      </c>
      <c r="W65" s="604">
        <v>245002.57531525</v>
      </c>
      <c r="X65" s="620">
        <v>582.10881007</v>
      </c>
      <c r="Y65" s="607">
        <v>1925285.29989303</v>
      </c>
      <c r="Z65" s="223"/>
      <c r="AA65" s="38"/>
    </row>
    <row r="66" ht="15.6" spans="1:27">
      <c r="A66" s="617"/>
      <c r="B66" s="621" t="s">
        <v>390</v>
      </c>
      <c r="C66" s="607">
        <v>342360.90800986</v>
      </c>
      <c r="D66" s="607">
        <v>159156.131616038</v>
      </c>
      <c r="E66" s="620">
        <v>183204.776393822</v>
      </c>
      <c r="F66" s="620">
        <v>440470.647985136</v>
      </c>
      <c r="G66" s="620">
        <v>195262.033992706</v>
      </c>
      <c r="H66" s="620">
        <v>72168.54036686</v>
      </c>
      <c r="I66" s="620">
        <v>49258.6086389</v>
      </c>
      <c r="J66" s="620">
        <v>123781.46498667</v>
      </c>
      <c r="K66" s="620">
        <v>1027261.06088519</v>
      </c>
      <c r="L66" s="620">
        <v>47292.844429698</v>
      </c>
      <c r="M66" s="620">
        <v>2244.714024531</v>
      </c>
      <c r="N66" s="620">
        <v>217328.19532339</v>
      </c>
      <c r="O66" s="620">
        <v>164581.355275207</v>
      </c>
      <c r="P66" s="620">
        <v>193910.68218411</v>
      </c>
      <c r="Q66" s="620">
        <v>205862.522467842</v>
      </c>
      <c r="R66" s="620">
        <v>196040.747180408</v>
      </c>
      <c r="S66" s="620">
        <v>541305.336416641</v>
      </c>
      <c r="T66" s="620">
        <v>25450.0763185</v>
      </c>
      <c r="U66" s="620">
        <v>220409.106767112</v>
      </c>
      <c r="V66" s="620">
        <v>30225.819633129</v>
      </c>
      <c r="W66" s="604">
        <v>265220.3336979</v>
      </c>
      <c r="X66" s="620">
        <v>1680.44667445</v>
      </c>
      <c r="Y66" s="607">
        <v>2353078.39997127</v>
      </c>
      <c r="Z66" s="223"/>
      <c r="AA66" s="38"/>
    </row>
    <row r="67" s="599" customFormat="1" ht="15.6" spans="1:27">
      <c r="A67" s="628">
        <v>2023</v>
      </c>
      <c r="B67" s="129" t="s">
        <v>379</v>
      </c>
      <c r="C67" s="129">
        <v>181411.018967319</v>
      </c>
      <c r="D67" s="129">
        <v>170742.063010117</v>
      </c>
      <c r="E67" s="129">
        <v>10668.9559572019</v>
      </c>
      <c r="F67" s="129">
        <v>526984.520934825</v>
      </c>
      <c r="G67" s="129">
        <v>235223.081689605</v>
      </c>
      <c r="H67" s="129">
        <v>200262.16215137</v>
      </c>
      <c r="I67" s="129">
        <v>85788.12113913</v>
      </c>
      <c r="J67" s="129">
        <v>5711.1559547201</v>
      </c>
      <c r="K67" s="129">
        <v>949287.987187161</v>
      </c>
      <c r="L67" s="129">
        <v>4981.236729623</v>
      </c>
      <c r="M67" s="129">
        <v>37997.39354252</v>
      </c>
      <c r="N67" s="129">
        <v>317981.989093915</v>
      </c>
      <c r="O67" s="129">
        <v>150937.61879647</v>
      </c>
      <c r="P67" s="129">
        <v>124578.69144148</v>
      </c>
      <c r="Q67" s="129">
        <v>231185.233587929</v>
      </c>
      <c r="R67" s="129">
        <v>81625.8239952241</v>
      </c>
      <c r="S67" s="129">
        <v>626513.808623581</v>
      </c>
      <c r="T67" s="129">
        <v>13469.77880993</v>
      </c>
      <c r="U67" s="129">
        <v>126152.834381366</v>
      </c>
      <c r="V67" s="129">
        <v>72919.721125737</v>
      </c>
      <c r="W67" s="129">
        <v>413971.474306548</v>
      </c>
      <c r="X67" s="129">
        <v>1878.21855761</v>
      </c>
      <c r="Y67" s="129">
        <v>2286075.5542705</v>
      </c>
      <c r="Z67" s="223"/>
      <c r="AA67" s="38"/>
    </row>
    <row r="68" s="599" customFormat="1" ht="15.6" spans="1:27">
      <c r="A68" s="629"/>
      <c r="B68" s="129" t="s">
        <v>380</v>
      </c>
      <c r="C68" s="129">
        <v>219760.241461938</v>
      </c>
      <c r="D68" s="129">
        <v>81441.454707929</v>
      </c>
      <c r="E68" s="129">
        <v>138318.786754009</v>
      </c>
      <c r="F68" s="129">
        <v>216712.20890043</v>
      </c>
      <c r="G68" s="129">
        <v>99411.58362485</v>
      </c>
      <c r="H68" s="129">
        <v>92251.08010856</v>
      </c>
      <c r="I68" s="129">
        <v>1317.42821099</v>
      </c>
      <c r="J68" s="129">
        <v>23732.11695603</v>
      </c>
      <c r="K68" s="129">
        <v>941503.63209629</v>
      </c>
      <c r="L68" s="129">
        <v>4722.55548446</v>
      </c>
      <c r="M68" s="129">
        <v>194686.82067204</v>
      </c>
      <c r="N68" s="129">
        <v>321920.5960477</v>
      </c>
      <c r="O68" s="129">
        <v>75312.39158338</v>
      </c>
      <c r="P68" s="129">
        <v>175673.25179623</v>
      </c>
      <c r="Q68" s="129">
        <v>101629.94573773</v>
      </c>
      <c r="R68" s="129">
        <v>67558.07077475</v>
      </c>
      <c r="S68" s="129">
        <v>537025.202350085</v>
      </c>
      <c r="T68" s="129">
        <v>16028.23487323</v>
      </c>
      <c r="U68" s="129">
        <v>120920.760012205</v>
      </c>
      <c r="V68" s="129">
        <v>24384.23886259</v>
      </c>
      <c r="W68" s="129">
        <v>375691.96860206</v>
      </c>
      <c r="X68" s="129">
        <v>1082.66357854</v>
      </c>
      <c r="Y68" s="129">
        <v>1916083.94838728</v>
      </c>
      <c r="Z68" s="223"/>
      <c r="AA68" s="38"/>
    </row>
    <row r="69" s="599" customFormat="1" ht="15.6" spans="1:27">
      <c r="A69" s="629"/>
      <c r="B69" s="129" t="s">
        <v>391</v>
      </c>
      <c r="C69" s="129">
        <v>264724.626536184</v>
      </c>
      <c r="D69" s="129">
        <v>147007.126718991</v>
      </c>
      <c r="E69" s="129">
        <v>117717.499817193</v>
      </c>
      <c r="F69" s="129">
        <v>449318.876703141</v>
      </c>
      <c r="G69" s="129">
        <v>244713.351582542</v>
      </c>
      <c r="H69" s="129">
        <v>134847.635426573</v>
      </c>
      <c r="I69" s="129">
        <v>27788.47942086</v>
      </c>
      <c r="J69" s="129">
        <v>41969.410273166</v>
      </c>
      <c r="K69" s="129">
        <v>1121148.21306816</v>
      </c>
      <c r="L69" s="129">
        <v>41507.624115467</v>
      </c>
      <c r="M69" s="129">
        <v>222799.454777769</v>
      </c>
      <c r="N69" s="129">
        <v>197749.332096072</v>
      </c>
      <c r="O69" s="129">
        <v>120940.785377699</v>
      </c>
      <c r="P69" s="129">
        <v>187088.664778616</v>
      </c>
      <c r="Q69" s="129">
        <v>155359.731405854</v>
      </c>
      <c r="R69" s="129">
        <v>195702.620516679</v>
      </c>
      <c r="S69" s="129">
        <v>448674.076881327</v>
      </c>
      <c r="T69" s="129">
        <v>16906.80344856</v>
      </c>
      <c r="U69" s="129">
        <v>139497.997281676</v>
      </c>
      <c r="V69" s="129">
        <v>29305.55340416</v>
      </c>
      <c r="W69" s="129">
        <v>262963.722746931</v>
      </c>
      <c r="X69" s="129">
        <v>1013.58590886</v>
      </c>
      <c r="Y69" s="129">
        <v>2284879.37909767</v>
      </c>
      <c r="Z69" s="223"/>
      <c r="AA69" s="38"/>
    </row>
    <row r="70" s="599" customFormat="1" ht="15.6" spans="1:27">
      <c r="A70" s="629"/>
      <c r="B70" s="129" t="s">
        <v>382</v>
      </c>
      <c r="C70" s="129">
        <v>172178.36207765</v>
      </c>
      <c r="D70" s="129">
        <v>128528.7602954</v>
      </c>
      <c r="E70" s="129">
        <v>43649.60178225</v>
      </c>
      <c r="F70" s="129">
        <v>333331.66620584</v>
      </c>
      <c r="G70" s="129">
        <v>137157.74162749</v>
      </c>
      <c r="H70" s="129">
        <v>92465.83675059</v>
      </c>
      <c r="I70" s="129">
        <v>641.01960128</v>
      </c>
      <c r="J70" s="129">
        <v>103067.06822648</v>
      </c>
      <c r="K70" s="129">
        <v>896900.21846199</v>
      </c>
      <c r="L70" s="129">
        <v>5679.08241356</v>
      </c>
      <c r="M70" s="129">
        <v>14770.83693553</v>
      </c>
      <c r="N70" s="129">
        <v>270171.83487158</v>
      </c>
      <c r="O70" s="129">
        <v>46898.31322285</v>
      </c>
      <c r="P70" s="129">
        <v>44511.36298436</v>
      </c>
      <c r="Q70" s="129">
        <v>246663.00974575</v>
      </c>
      <c r="R70" s="129">
        <v>268205.77828836</v>
      </c>
      <c r="S70" s="129">
        <v>381744.20213313</v>
      </c>
      <c r="T70" s="129">
        <v>12190.4897102</v>
      </c>
      <c r="U70" s="129">
        <v>91875.88862849</v>
      </c>
      <c r="V70" s="129">
        <v>16960.26808946</v>
      </c>
      <c r="W70" s="129">
        <v>260717.55570498</v>
      </c>
      <c r="X70" s="129">
        <v>2081.75608129</v>
      </c>
      <c r="Y70" s="129">
        <v>1786236.2049599</v>
      </c>
      <c r="Z70" s="223"/>
      <c r="AA70" s="38"/>
    </row>
    <row r="71" s="599" customFormat="1" ht="15.6" spans="1:27">
      <c r="A71" s="629"/>
      <c r="B71" s="129" t="s">
        <v>383</v>
      </c>
      <c r="C71" s="129">
        <v>219116.738661215</v>
      </c>
      <c r="D71" s="129">
        <v>149569.880994787</v>
      </c>
      <c r="E71" s="129">
        <v>69546.8576664281</v>
      </c>
      <c r="F71" s="129">
        <v>284377.38509387</v>
      </c>
      <c r="G71" s="129">
        <v>212334.93488954</v>
      </c>
      <c r="H71" s="129">
        <v>36557.71476048</v>
      </c>
      <c r="I71" s="129">
        <v>11312.91962083</v>
      </c>
      <c r="J71" s="129">
        <v>24171.8158230199</v>
      </c>
      <c r="K71" s="129">
        <v>923860.885081178</v>
      </c>
      <c r="L71" s="129">
        <v>43174.3706232</v>
      </c>
      <c r="M71" s="129">
        <v>77502.371533033</v>
      </c>
      <c r="N71" s="129">
        <v>196440.01827195</v>
      </c>
      <c r="O71" s="129">
        <v>35349.37726859</v>
      </c>
      <c r="P71" s="129">
        <v>63572.091355935</v>
      </c>
      <c r="Q71" s="129">
        <v>249579.27018305</v>
      </c>
      <c r="R71" s="129">
        <v>258243.38584542</v>
      </c>
      <c r="S71" s="129">
        <v>458404.35774967</v>
      </c>
      <c r="T71" s="129">
        <v>14068.20312821</v>
      </c>
      <c r="U71" s="129">
        <v>100547.03057547</v>
      </c>
      <c r="V71" s="129">
        <v>13746.43747081</v>
      </c>
      <c r="W71" s="129">
        <v>330042.68657518</v>
      </c>
      <c r="X71" s="129">
        <v>1753.08739461</v>
      </c>
      <c r="Y71" s="129">
        <v>1887512.45398054</v>
      </c>
      <c r="Z71" s="223"/>
      <c r="AA71" s="38"/>
    </row>
    <row r="72" s="599" customFormat="1" ht="15.6" spans="1:27">
      <c r="A72" s="629"/>
      <c r="B72" s="129" t="s">
        <v>384</v>
      </c>
      <c r="C72" s="129">
        <v>253525.943232987</v>
      </c>
      <c r="D72" s="129">
        <v>161459.477931407</v>
      </c>
      <c r="E72" s="129">
        <v>92066.46530158</v>
      </c>
      <c r="F72" s="129">
        <v>677932.759516</v>
      </c>
      <c r="G72" s="129">
        <v>342356.29090875</v>
      </c>
      <c r="H72" s="129">
        <v>188023.95335438</v>
      </c>
      <c r="I72" s="129">
        <v>19016.7653552</v>
      </c>
      <c r="J72" s="129">
        <v>128535.74989767</v>
      </c>
      <c r="K72" s="129">
        <v>913121.12202551</v>
      </c>
      <c r="L72" s="129">
        <v>50793.70297709</v>
      </c>
      <c r="M72" s="129">
        <v>36618.02212681</v>
      </c>
      <c r="N72" s="129">
        <v>312900.23000996</v>
      </c>
      <c r="O72" s="129">
        <v>35765.13194472</v>
      </c>
      <c r="P72" s="129">
        <v>235232.28654908</v>
      </c>
      <c r="Q72" s="129">
        <v>97890.27671095</v>
      </c>
      <c r="R72" s="129">
        <v>143921.4717069</v>
      </c>
      <c r="S72" s="129">
        <v>914416.635535976</v>
      </c>
      <c r="T72" s="129">
        <v>31193.92908186</v>
      </c>
      <c r="U72" s="129">
        <v>312043.88143567</v>
      </c>
      <c r="V72" s="129">
        <v>100793.45129103</v>
      </c>
      <c r="W72" s="129">
        <v>470385.373727416</v>
      </c>
      <c r="X72" s="129">
        <v>2385.0878153</v>
      </c>
      <c r="Y72" s="129">
        <v>2761381.54812577</v>
      </c>
      <c r="Z72" s="223"/>
      <c r="AA72" s="38"/>
    </row>
    <row r="73" ht="15.6" spans="1:27">
      <c r="A73" s="629"/>
      <c r="B73" s="129" t="s">
        <v>385</v>
      </c>
      <c r="C73" s="129">
        <v>300929.708949412</v>
      </c>
      <c r="D73" s="129">
        <v>160390.188870867</v>
      </c>
      <c r="E73" s="129">
        <v>140539.520078545</v>
      </c>
      <c r="F73" s="129">
        <v>545273.781103576</v>
      </c>
      <c r="G73" s="129">
        <v>228346.255400216</v>
      </c>
      <c r="H73" s="129">
        <v>137269.05985897</v>
      </c>
      <c r="I73" s="129">
        <v>17657.31679838</v>
      </c>
      <c r="J73" s="129">
        <v>162001.14904601</v>
      </c>
      <c r="K73" s="129">
        <v>1272152.04420105</v>
      </c>
      <c r="L73" s="129">
        <v>6941.28555294</v>
      </c>
      <c r="M73" s="129">
        <v>64248.980127507</v>
      </c>
      <c r="N73" s="129">
        <v>280628.55845257</v>
      </c>
      <c r="O73" s="129">
        <v>65114.21612581</v>
      </c>
      <c r="P73" s="129">
        <v>190899.9416491</v>
      </c>
      <c r="Q73" s="129">
        <v>465548.36508104</v>
      </c>
      <c r="R73" s="129">
        <v>198770.69721208</v>
      </c>
      <c r="S73" s="129">
        <v>896090.570490728</v>
      </c>
      <c r="T73" s="129">
        <v>21655.32217717</v>
      </c>
      <c r="U73" s="129">
        <v>262411.619254048</v>
      </c>
      <c r="V73" s="129">
        <v>46711.89748232</v>
      </c>
      <c r="W73" s="129">
        <v>565311.73157719</v>
      </c>
      <c r="X73" s="129">
        <v>1942.7754523</v>
      </c>
      <c r="Y73" s="129">
        <v>3016388.88019706</v>
      </c>
      <c r="Z73" s="223"/>
      <c r="AA73" s="38"/>
    </row>
    <row r="74" ht="15.6" spans="1:27">
      <c r="A74" s="629"/>
      <c r="B74" s="129" t="s">
        <v>386</v>
      </c>
      <c r="C74" s="129">
        <v>450518.453512548</v>
      </c>
      <c r="D74" s="129">
        <v>306790.008089743</v>
      </c>
      <c r="E74" s="129">
        <v>143728.445422805</v>
      </c>
      <c r="F74" s="129">
        <v>479243.767828157</v>
      </c>
      <c r="G74" s="129">
        <v>334455.71361124</v>
      </c>
      <c r="H74" s="129">
        <v>48354.386543821</v>
      </c>
      <c r="I74" s="129">
        <v>7852.8829371</v>
      </c>
      <c r="J74" s="129">
        <v>88580.784735996</v>
      </c>
      <c r="K74" s="129">
        <v>1530939.79274736</v>
      </c>
      <c r="L74" s="129">
        <v>71007.873416241</v>
      </c>
      <c r="M74" s="129">
        <v>121003.472766968</v>
      </c>
      <c r="N74" s="129">
        <v>285595.89821263</v>
      </c>
      <c r="O74" s="129">
        <v>172564.9578544</v>
      </c>
      <c r="P74" s="129">
        <v>253229.59219093</v>
      </c>
      <c r="Q74" s="129">
        <v>382352.17034219</v>
      </c>
      <c r="R74" s="129">
        <v>245185.827964</v>
      </c>
      <c r="S74" s="129">
        <v>999368.640766461</v>
      </c>
      <c r="T74" s="129">
        <v>15493.46920965</v>
      </c>
      <c r="U74" s="129">
        <v>411374.166615522</v>
      </c>
      <c r="V74" s="129">
        <v>158706.7647734</v>
      </c>
      <c r="W74" s="129">
        <v>413794.240167889</v>
      </c>
      <c r="X74" s="129">
        <v>2527.0285515</v>
      </c>
      <c r="Y74" s="129">
        <v>3462597.68340602</v>
      </c>
      <c r="Z74" s="223"/>
      <c r="AA74" s="38"/>
    </row>
    <row r="75" ht="15.6" spans="1:27">
      <c r="A75" s="629"/>
      <c r="B75" s="129" t="s">
        <v>387</v>
      </c>
      <c r="C75" s="129">
        <v>390758.098304299</v>
      </c>
      <c r="D75" s="129">
        <v>244525.922018789</v>
      </c>
      <c r="E75" s="129">
        <v>146232.17628551</v>
      </c>
      <c r="F75" s="129">
        <v>528475.23646908</v>
      </c>
      <c r="G75" s="129">
        <v>45565.42667785</v>
      </c>
      <c r="H75" s="129">
        <v>298834.12869533</v>
      </c>
      <c r="I75" s="129">
        <v>98805.17755478</v>
      </c>
      <c r="J75" s="129">
        <v>85270.50354112</v>
      </c>
      <c r="K75" s="129">
        <v>1822559.51144208</v>
      </c>
      <c r="L75" s="129">
        <v>119786.62903022</v>
      </c>
      <c r="M75" s="129">
        <v>303673.47073382</v>
      </c>
      <c r="N75" s="129">
        <v>422433.40670251</v>
      </c>
      <c r="O75" s="129">
        <v>141475.32447854</v>
      </c>
      <c r="P75" s="129">
        <v>276318.876605866</v>
      </c>
      <c r="Q75" s="129">
        <v>426165.46339898</v>
      </c>
      <c r="R75" s="129">
        <v>132706.34049214</v>
      </c>
      <c r="S75" s="129">
        <v>1054273.87656101</v>
      </c>
      <c r="T75" s="129">
        <v>31533.99159817</v>
      </c>
      <c r="U75" s="129">
        <v>341345.26926939</v>
      </c>
      <c r="V75" s="129">
        <v>18859.58555838</v>
      </c>
      <c r="W75" s="129">
        <v>662535.03013507</v>
      </c>
      <c r="X75" s="129">
        <v>71550.5642086</v>
      </c>
      <c r="Y75" s="129">
        <v>3867617.28698507</v>
      </c>
      <c r="Z75" s="223"/>
      <c r="AA75" s="38"/>
    </row>
    <row r="76" ht="15.6" spans="1:27">
      <c r="A76" s="629"/>
      <c r="B76" s="129" t="s">
        <v>388</v>
      </c>
      <c r="C76" s="129">
        <v>426741.10452888</v>
      </c>
      <c r="D76" s="129">
        <v>256665.23193672</v>
      </c>
      <c r="E76" s="129">
        <v>170075.87259216</v>
      </c>
      <c r="F76" s="129">
        <v>734984.21327807</v>
      </c>
      <c r="G76" s="129">
        <v>183294.89027039</v>
      </c>
      <c r="H76" s="129">
        <v>457567.93652579</v>
      </c>
      <c r="I76" s="129">
        <v>47407.64405042</v>
      </c>
      <c r="J76" s="129">
        <v>46713.74243147</v>
      </c>
      <c r="K76" s="129">
        <v>2091213.71623427</v>
      </c>
      <c r="L76" s="129">
        <v>88394.48664989</v>
      </c>
      <c r="M76" s="129">
        <v>194861.60804829</v>
      </c>
      <c r="N76" s="129">
        <v>597942.80274595</v>
      </c>
      <c r="O76" s="129">
        <v>185882.33057179</v>
      </c>
      <c r="P76" s="129">
        <v>265708.788199</v>
      </c>
      <c r="Q76" s="129">
        <v>346928.62988318</v>
      </c>
      <c r="R76" s="129">
        <v>411495.070136171</v>
      </c>
      <c r="S76" s="129">
        <v>883783.23942747</v>
      </c>
      <c r="T76" s="129">
        <v>30160.44180676</v>
      </c>
      <c r="U76" s="129">
        <v>230527.20379657</v>
      </c>
      <c r="V76" s="129">
        <v>55124.22813283</v>
      </c>
      <c r="W76" s="129">
        <v>567971.36569131</v>
      </c>
      <c r="X76" s="129">
        <v>4350.6225668</v>
      </c>
      <c r="Y76" s="129">
        <v>4141072.89603549</v>
      </c>
      <c r="Z76" s="223"/>
      <c r="AA76" s="38"/>
    </row>
    <row r="77" ht="15.6" spans="1:27">
      <c r="A77" s="629"/>
      <c r="B77" s="129" t="s">
        <v>389</v>
      </c>
      <c r="C77" s="129">
        <v>448828.49920845</v>
      </c>
      <c r="D77" s="129">
        <v>204342.72573058</v>
      </c>
      <c r="E77" s="129">
        <v>244485.77347787</v>
      </c>
      <c r="F77" s="129">
        <v>650570.71783555</v>
      </c>
      <c r="G77" s="129">
        <v>246847.2392233</v>
      </c>
      <c r="H77" s="129">
        <v>199792.9430911</v>
      </c>
      <c r="I77" s="129">
        <v>63840.31118251</v>
      </c>
      <c r="J77" s="129">
        <v>140090.22433864</v>
      </c>
      <c r="K77" s="129">
        <v>2036987.63963488</v>
      </c>
      <c r="L77" s="129">
        <v>5627.34828703</v>
      </c>
      <c r="M77" s="129">
        <v>47898.47641919</v>
      </c>
      <c r="N77" s="129">
        <v>788957.07786486</v>
      </c>
      <c r="O77" s="129">
        <v>154891.37831981</v>
      </c>
      <c r="P77" s="129">
        <v>421616.44951775</v>
      </c>
      <c r="Q77" s="129">
        <v>313661.06776845</v>
      </c>
      <c r="R77" s="129">
        <v>304335.84145779</v>
      </c>
      <c r="S77" s="129">
        <v>1126938.47344723</v>
      </c>
      <c r="T77" s="129">
        <v>63473.22206619</v>
      </c>
      <c r="U77" s="129">
        <v>385599.01911994</v>
      </c>
      <c r="V77" s="129">
        <v>183435.4134918</v>
      </c>
      <c r="W77" s="129">
        <v>494430.8187693</v>
      </c>
      <c r="X77" s="129">
        <v>4654.668169992</v>
      </c>
      <c r="Y77" s="129">
        <v>4267979.9982961</v>
      </c>
      <c r="AA77" s="38"/>
    </row>
    <row r="78" ht="15.6" spans="1:27">
      <c r="A78" s="629"/>
      <c r="B78" s="129" t="s">
        <v>390</v>
      </c>
      <c r="C78" s="129">
        <v>385369.452401609</v>
      </c>
      <c r="D78" s="129">
        <v>225747.194622262</v>
      </c>
      <c r="E78" s="129">
        <v>159622.257779347</v>
      </c>
      <c r="F78" s="129">
        <v>735199.848595247</v>
      </c>
      <c r="G78" s="129">
        <v>299453.2080108</v>
      </c>
      <c r="H78" s="129">
        <v>250283.13897302</v>
      </c>
      <c r="I78" s="129">
        <v>80073.094442781</v>
      </c>
      <c r="J78" s="129">
        <v>105390.407168646</v>
      </c>
      <c r="K78" s="129">
        <v>1830039.40982064</v>
      </c>
      <c r="L78" s="129">
        <v>83455.76489315</v>
      </c>
      <c r="M78" s="129">
        <v>93037.938235424</v>
      </c>
      <c r="N78" s="129">
        <v>523568.98765478</v>
      </c>
      <c r="O78" s="129">
        <v>209058.21868258</v>
      </c>
      <c r="P78" s="129">
        <v>112444.7493924</v>
      </c>
      <c r="Q78" s="129">
        <v>369496.66794429</v>
      </c>
      <c r="R78" s="129">
        <v>438977.08301802</v>
      </c>
      <c r="S78" s="129">
        <v>1261945.77089783</v>
      </c>
      <c r="T78" s="129">
        <v>16110.13645049</v>
      </c>
      <c r="U78" s="129">
        <v>485341.351351875</v>
      </c>
      <c r="V78" s="129">
        <v>170428.467290352</v>
      </c>
      <c r="W78" s="129">
        <v>590065.815805115</v>
      </c>
      <c r="X78" s="129">
        <v>72012.12722867</v>
      </c>
      <c r="Y78" s="129">
        <v>4284566.608944</v>
      </c>
      <c r="Z78" s="223"/>
      <c r="AA78" s="38"/>
    </row>
    <row r="79" ht="15.6" spans="1:27">
      <c r="A79" s="619">
        <v>2024</v>
      </c>
      <c r="B79" s="129" t="s">
        <v>379</v>
      </c>
      <c r="C79" s="129">
        <v>713229.568429526</v>
      </c>
      <c r="D79" s="129">
        <v>376920.286442822</v>
      </c>
      <c r="E79" s="129">
        <v>336309.281986704</v>
      </c>
      <c r="F79" s="129">
        <v>879725.712996016</v>
      </c>
      <c r="G79" s="129">
        <v>548835.589422424</v>
      </c>
      <c r="H79" s="129">
        <v>1741.92622259</v>
      </c>
      <c r="I79" s="129">
        <v>79674.718160498</v>
      </c>
      <c r="J79" s="129">
        <v>249473.479190504</v>
      </c>
      <c r="K79" s="129">
        <v>3559396.89920932</v>
      </c>
      <c r="L79" s="129">
        <v>144662.811096282</v>
      </c>
      <c r="M79" s="129">
        <v>176153.524191729</v>
      </c>
      <c r="N79" s="129">
        <v>809792.80867204</v>
      </c>
      <c r="O79" s="129">
        <v>299461.182527976</v>
      </c>
      <c r="P79" s="129">
        <v>719116.531494935</v>
      </c>
      <c r="Q79" s="129">
        <v>871143.678789748</v>
      </c>
      <c r="R79" s="129">
        <v>539066.362436607</v>
      </c>
      <c r="S79" s="129">
        <v>1089519.76825911</v>
      </c>
      <c r="T79" s="129">
        <v>70360.10170866</v>
      </c>
      <c r="U79" s="129">
        <v>430518.225357464</v>
      </c>
      <c r="V79" s="129">
        <v>196685.670842428</v>
      </c>
      <c r="W79" s="129">
        <v>391955.77035056</v>
      </c>
      <c r="X79" s="129">
        <v>5085.787484</v>
      </c>
      <c r="Y79" s="129">
        <v>6246957.73637797</v>
      </c>
      <c r="Z79" s="223"/>
      <c r="AA79" s="38"/>
    </row>
    <row r="80" ht="15.6" spans="1:27">
      <c r="A80" s="629"/>
      <c r="B80" s="129" t="s">
        <v>380</v>
      </c>
      <c r="C80" s="129">
        <v>879735.61607207</v>
      </c>
      <c r="D80" s="129">
        <v>467558.3271763</v>
      </c>
      <c r="E80" s="129">
        <v>412177.28889577</v>
      </c>
      <c r="F80" s="129">
        <v>987113.89633731</v>
      </c>
      <c r="G80" s="129">
        <v>280686.32911661</v>
      </c>
      <c r="H80" s="129">
        <v>535661.7192894</v>
      </c>
      <c r="I80" s="129">
        <v>29830.61078436</v>
      </c>
      <c r="J80" s="129">
        <v>140935.23714694</v>
      </c>
      <c r="K80" s="129">
        <v>2730636.67947762</v>
      </c>
      <c r="L80" s="129">
        <v>8745.2009236</v>
      </c>
      <c r="M80" s="129">
        <v>46444.46864569</v>
      </c>
      <c r="N80" s="129">
        <v>579149.49418309</v>
      </c>
      <c r="O80" s="129">
        <v>321136.32000511</v>
      </c>
      <c r="P80" s="129">
        <v>587146.23493415</v>
      </c>
      <c r="Q80" s="129">
        <v>986920.38116559</v>
      </c>
      <c r="R80" s="129">
        <v>201094.579620389</v>
      </c>
      <c r="S80" s="129">
        <v>2054808.42325877</v>
      </c>
      <c r="T80" s="129">
        <v>40764.9530249</v>
      </c>
      <c r="U80" s="129">
        <v>629243.89486278</v>
      </c>
      <c r="V80" s="129">
        <v>263210.78836782</v>
      </c>
      <c r="W80" s="129">
        <v>1121588.78700327</v>
      </c>
      <c r="X80" s="129">
        <v>5127.13406755</v>
      </c>
      <c r="Y80" s="129">
        <v>6657421.74921332</v>
      </c>
      <c r="Z80" s="223"/>
      <c r="AA80" s="38"/>
    </row>
    <row r="81" ht="15.6" spans="1:27">
      <c r="A81" s="629"/>
      <c r="B81" s="129" t="s">
        <v>391</v>
      </c>
      <c r="C81" s="129">
        <v>643852.423689376</v>
      </c>
      <c r="D81" s="129">
        <v>406229.032512303</v>
      </c>
      <c r="E81" s="129">
        <v>237623.391177073</v>
      </c>
      <c r="F81" s="129">
        <v>1543637.49790329</v>
      </c>
      <c r="G81" s="129">
        <v>481641.252463095</v>
      </c>
      <c r="H81" s="129">
        <v>573076.149355484</v>
      </c>
      <c r="I81" s="129">
        <v>87107.153233458</v>
      </c>
      <c r="J81" s="129">
        <v>401812.942851254</v>
      </c>
      <c r="K81" s="129">
        <v>2035234.31135104</v>
      </c>
      <c r="L81" s="129">
        <v>240889.799607623</v>
      </c>
      <c r="M81" s="129">
        <v>45513.198509504</v>
      </c>
      <c r="N81" s="129">
        <v>306499.089212419</v>
      </c>
      <c r="O81" s="129">
        <v>283675.364973502</v>
      </c>
      <c r="P81" s="129">
        <v>818768.439810018</v>
      </c>
      <c r="Q81" s="129">
        <v>165482.708804919</v>
      </c>
      <c r="R81" s="129">
        <v>174405.710433059</v>
      </c>
      <c r="S81" s="129">
        <v>2043644.6075792</v>
      </c>
      <c r="T81" s="129">
        <v>100349.13109438</v>
      </c>
      <c r="U81" s="129">
        <v>551630.8839687</v>
      </c>
      <c r="V81" s="129">
        <v>223035.467784857</v>
      </c>
      <c r="W81" s="129">
        <v>1168629.12473126</v>
      </c>
      <c r="X81" s="129">
        <v>5445.47769005</v>
      </c>
      <c r="Y81" s="129">
        <v>6271814.31821296</v>
      </c>
      <c r="Z81" s="223"/>
      <c r="AA81" s="38"/>
    </row>
    <row r="82" ht="15.6" spans="1:27">
      <c r="A82" s="629"/>
      <c r="B82" s="129" t="s">
        <v>382</v>
      </c>
      <c r="C82" s="129">
        <v>422721.92462125</v>
      </c>
      <c r="D82" s="129">
        <v>189389.00729399</v>
      </c>
      <c r="E82" s="129">
        <v>233332.91732726</v>
      </c>
      <c r="F82" s="129">
        <v>926458.59826998</v>
      </c>
      <c r="G82" s="129">
        <v>453114.19204377</v>
      </c>
      <c r="H82" s="129">
        <v>138284.57305532</v>
      </c>
      <c r="I82" s="129">
        <v>172611.24436478</v>
      </c>
      <c r="J82" s="129">
        <v>162448.58880611</v>
      </c>
      <c r="K82" s="129">
        <v>2759194.44140322</v>
      </c>
      <c r="L82" s="129">
        <v>164338.50160411</v>
      </c>
      <c r="M82" s="129">
        <v>127727.21346812</v>
      </c>
      <c r="N82" s="129">
        <v>559023.7719915</v>
      </c>
      <c r="O82" s="129">
        <v>316892.56223378</v>
      </c>
      <c r="P82" s="129">
        <v>602447.210167</v>
      </c>
      <c r="Q82" s="129">
        <v>766126.56709463</v>
      </c>
      <c r="R82" s="129">
        <v>222638.614844081</v>
      </c>
      <c r="S82" s="129">
        <v>1432501.71501465</v>
      </c>
      <c r="T82" s="129">
        <v>38419.71657274</v>
      </c>
      <c r="U82" s="129">
        <v>556593.08313213</v>
      </c>
      <c r="V82" s="129">
        <v>146887.96175889</v>
      </c>
      <c r="W82" s="129">
        <v>690600.953550887</v>
      </c>
      <c r="X82" s="129">
        <v>5827.16439923</v>
      </c>
      <c r="Y82" s="129">
        <v>5546703.84370833</v>
      </c>
      <c r="Z82" s="223"/>
      <c r="AA82" s="38"/>
    </row>
    <row r="83" ht="15.6" spans="1:27">
      <c r="A83" s="629"/>
      <c r="B83" s="129" t="s">
        <v>383</v>
      </c>
      <c r="C83" s="129">
        <v>989934.267161241</v>
      </c>
      <c r="D83" s="129">
        <v>837466.106220491</v>
      </c>
      <c r="E83" s="129">
        <v>152468.16094075</v>
      </c>
      <c r="F83" s="129">
        <v>505344.715434138</v>
      </c>
      <c r="G83" s="129">
        <v>412541.901443488</v>
      </c>
      <c r="H83" s="129">
        <v>4955.15360726</v>
      </c>
      <c r="I83" s="129">
        <v>50716.43598137</v>
      </c>
      <c r="J83" s="129">
        <v>37131.22440202</v>
      </c>
      <c r="K83" s="129">
        <v>2729972.14296536</v>
      </c>
      <c r="L83" s="129">
        <v>152774.246279982</v>
      </c>
      <c r="M83" s="129">
        <v>6156.93381353</v>
      </c>
      <c r="N83" s="129">
        <v>465993.548828818</v>
      </c>
      <c r="O83" s="129">
        <v>120853.674425385</v>
      </c>
      <c r="P83" s="129">
        <v>447463.165186568</v>
      </c>
      <c r="Q83" s="129">
        <v>957895.486988438</v>
      </c>
      <c r="R83" s="129">
        <v>578835.087442641</v>
      </c>
      <c r="S83" s="129">
        <v>1766760.36178401</v>
      </c>
      <c r="T83" s="129">
        <v>49993.18865314</v>
      </c>
      <c r="U83" s="129">
        <v>514786.600749179</v>
      </c>
      <c r="V83" s="129">
        <v>268733.755797234</v>
      </c>
      <c r="W83" s="129">
        <v>933246.816584453</v>
      </c>
      <c r="X83" s="129">
        <v>37996.067227161</v>
      </c>
      <c r="Y83" s="129">
        <v>6030007.55457191</v>
      </c>
      <c r="Z83" s="223"/>
      <c r="AA83" s="38"/>
    </row>
    <row r="84" ht="15.6" spans="1:27">
      <c r="A84" s="629"/>
      <c r="B84" s="129" t="s">
        <v>384</v>
      </c>
      <c r="C84" s="129">
        <v>561980.452482132</v>
      </c>
      <c r="D84" s="129">
        <v>290391.395007219</v>
      </c>
      <c r="E84" s="129">
        <v>271589.057474913</v>
      </c>
      <c r="F84" s="129">
        <v>1689284.52433402</v>
      </c>
      <c r="G84" s="129">
        <v>720837.385412186</v>
      </c>
      <c r="H84" s="129">
        <v>623100.690009809</v>
      </c>
      <c r="I84" s="129">
        <v>160543.99407934</v>
      </c>
      <c r="J84" s="129">
        <v>184802.454832685</v>
      </c>
      <c r="K84" s="129">
        <v>2418702.12149481</v>
      </c>
      <c r="L84" s="129">
        <v>246448.359266574</v>
      </c>
      <c r="M84" s="129">
        <v>120371.40134784</v>
      </c>
      <c r="N84" s="129">
        <v>686087.891478754</v>
      </c>
      <c r="O84" s="129">
        <v>436478.78793632</v>
      </c>
      <c r="P84" s="129">
        <v>283202.491920936</v>
      </c>
      <c r="Q84" s="129">
        <v>375750.420338534</v>
      </c>
      <c r="R84" s="129">
        <v>270362.769205852</v>
      </c>
      <c r="S84" s="129">
        <v>1454784.43172472</v>
      </c>
      <c r="T84" s="129">
        <v>98518.45287535</v>
      </c>
      <c r="U84" s="129">
        <v>319636.552618619</v>
      </c>
      <c r="V84" s="129">
        <v>268290.249298474</v>
      </c>
      <c r="W84" s="129">
        <v>768339.176932273</v>
      </c>
      <c r="X84" s="129">
        <v>12944.302353602</v>
      </c>
      <c r="Y84" s="129">
        <v>6137695.83238928</v>
      </c>
      <c r="Z84" s="223"/>
      <c r="AA84" s="38"/>
    </row>
    <row r="85" ht="15.6" spans="1:27">
      <c r="A85" s="630"/>
      <c r="B85" s="129" t="s">
        <v>385</v>
      </c>
      <c r="C85" s="129">
        <v>620343.325833738</v>
      </c>
      <c r="D85" s="129">
        <v>261996.025455317</v>
      </c>
      <c r="E85" s="129">
        <v>358347.300378421</v>
      </c>
      <c r="F85" s="129">
        <v>820961.607645781</v>
      </c>
      <c r="G85" s="129">
        <v>489008.864545871</v>
      </c>
      <c r="H85" s="129">
        <v>2278.25949047</v>
      </c>
      <c r="I85" s="129">
        <v>188544.92213327</v>
      </c>
      <c r="J85" s="129">
        <v>141129.56147617</v>
      </c>
      <c r="K85" s="129">
        <v>4036421.10435508</v>
      </c>
      <c r="L85" s="129">
        <v>301860.899217156</v>
      </c>
      <c r="M85" s="129">
        <v>275850.176369196</v>
      </c>
      <c r="N85" s="129">
        <v>789142.351240098</v>
      </c>
      <c r="O85" s="129">
        <v>432580.798148584</v>
      </c>
      <c r="P85" s="129">
        <v>510741.682915997</v>
      </c>
      <c r="Q85" s="129">
        <v>1241649.99531335</v>
      </c>
      <c r="R85" s="129">
        <v>484595.201150704</v>
      </c>
      <c r="S85" s="129">
        <v>1609652.57345809</v>
      </c>
      <c r="T85" s="129">
        <v>63620.21826056</v>
      </c>
      <c r="U85" s="129">
        <v>341111.606990629</v>
      </c>
      <c r="V85" s="129">
        <v>256204.44725452</v>
      </c>
      <c r="W85" s="129">
        <v>948716.300952379</v>
      </c>
      <c r="X85" s="129">
        <v>6813.8428895</v>
      </c>
      <c r="Y85" s="129">
        <v>7094192.45418219</v>
      </c>
      <c r="Z85" s="223"/>
      <c r="AA85" s="38"/>
    </row>
    <row r="86" ht="15.6" spans="1:27">
      <c r="A86" s="630"/>
      <c r="B86" s="129" t="s">
        <v>386</v>
      </c>
      <c r="C86" s="129">
        <v>549145.430673212</v>
      </c>
      <c r="D86" s="129">
        <v>351196.838122469</v>
      </c>
      <c r="E86" s="129">
        <v>197948.592550743</v>
      </c>
      <c r="F86" s="129">
        <v>1857889.91973893</v>
      </c>
      <c r="G86" s="129">
        <v>998490.836897305</v>
      </c>
      <c r="H86" s="129">
        <v>634700.932266666</v>
      </c>
      <c r="I86" s="129">
        <v>37282.866366032</v>
      </c>
      <c r="J86" s="129">
        <v>187415.284208929</v>
      </c>
      <c r="K86" s="129">
        <v>3006701.76534316</v>
      </c>
      <c r="L86" s="129">
        <v>48600.40171224</v>
      </c>
      <c r="M86" s="129">
        <v>254434.799573417</v>
      </c>
      <c r="N86" s="129">
        <v>383215.692244221</v>
      </c>
      <c r="O86" s="129">
        <v>593872.737693346</v>
      </c>
      <c r="P86" s="129">
        <v>655232.850164903</v>
      </c>
      <c r="Q86" s="129">
        <v>426692.908597583</v>
      </c>
      <c r="R86" s="129">
        <v>644652.37535745</v>
      </c>
      <c r="S86" s="129">
        <v>1853044.831986</v>
      </c>
      <c r="T86" s="129">
        <v>40737.9270272</v>
      </c>
      <c r="U86" s="129">
        <v>502635.1295441</v>
      </c>
      <c r="V86" s="129">
        <v>256314.94257117</v>
      </c>
      <c r="W86" s="129">
        <v>1053356.83284354</v>
      </c>
      <c r="X86" s="129">
        <v>78224.83767235</v>
      </c>
      <c r="Y86" s="129">
        <v>7345006.78541366</v>
      </c>
      <c r="Z86" s="223"/>
      <c r="AA86" s="38"/>
    </row>
    <row r="87" ht="15.6" spans="1:27">
      <c r="A87" s="630"/>
      <c r="B87" s="129" t="s">
        <v>387</v>
      </c>
      <c r="C87" s="129">
        <v>1317170.35463369</v>
      </c>
      <c r="D87" s="129">
        <v>927148.382174492</v>
      </c>
      <c r="E87" s="129">
        <v>390021.9724592</v>
      </c>
      <c r="F87" s="129">
        <v>705011.472571259</v>
      </c>
      <c r="G87" s="129">
        <v>202372.51652594</v>
      </c>
      <c r="H87" s="129">
        <v>342271.76999451</v>
      </c>
      <c r="I87" s="129">
        <v>147783.306597667</v>
      </c>
      <c r="J87" s="129">
        <v>12583.8794531421</v>
      </c>
      <c r="K87" s="129">
        <v>2191487.96509621</v>
      </c>
      <c r="L87" s="129">
        <v>143849.63033406</v>
      </c>
      <c r="M87" s="129">
        <v>180704.1344692</v>
      </c>
      <c r="N87" s="129">
        <v>262242.63256691</v>
      </c>
      <c r="O87" s="129">
        <v>350917.135901411</v>
      </c>
      <c r="P87" s="129">
        <v>422327.45205451</v>
      </c>
      <c r="Q87" s="129">
        <v>599750.61129183</v>
      </c>
      <c r="R87" s="129">
        <v>231696.368478289</v>
      </c>
      <c r="S87" s="129">
        <v>1765086.00971857</v>
      </c>
      <c r="T87" s="129">
        <v>118446.36640856</v>
      </c>
      <c r="U87" s="129">
        <v>344708.569072482</v>
      </c>
      <c r="V87" s="129">
        <v>171221.63968542</v>
      </c>
      <c r="W87" s="129">
        <v>1130709.43455211</v>
      </c>
      <c r="X87" s="129">
        <v>119213.75898922</v>
      </c>
      <c r="Y87" s="129">
        <v>6097969.56100895</v>
      </c>
      <c r="Z87" s="223"/>
      <c r="AA87" s="38"/>
    </row>
    <row r="88" ht="15.6" spans="1:27">
      <c r="A88" s="630"/>
      <c r="B88" s="129" t="s">
        <v>388</v>
      </c>
      <c r="C88" s="129">
        <v>501679.54204812</v>
      </c>
      <c r="D88" s="129">
        <v>184024.3561802</v>
      </c>
      <c r="E88" s="129">
        <v>317655.18586792</v>
      </c>
      <c r="F88" s="129">
        <v>893597.29522614</v>
      </c>
      <c r="G88" s="129">
        <v>290266.86191245</v>
      </c>
      <c r="H88" s="129">
        <v>262168.65523303</v>
      </c>
      <c r="I88" s="129">
        <v>165697.54676137</v>
      </c>
      <c r="J88" s="129">
        <v>175464.23131929</v>
      </c>
      <c r="K88" s="129">
        <v>3386456.00046463</v>
      </c>
      <c r="L88" s="129">
        <v>42713.83935705</v>
      </c>
      <c r="M88" s="129">
        <v>224888.39980072</v>
      </c>
      <c r="N88" s="129">
        <v>1001701.79018631</v>
      </c>
      <c r="O88" s="129">
        <v>199742.43436777</v>
      </c>
      <c r="P88" s="129">
        <v>791040.38952133</v>
      </c>
      <c r="Q88" s="129">
        <v>660174.28945087</v>
      </c>
      <c r="R88" s="129">
        <v>466194.857780579</v>
      </c>
      <c r="S88" s="129">
        <v>1737370.81851922</v>
      </c>
      <c r="T88" s="129">
        <v>51351.43617444</v>
      </c>
      <c r="U88" s="129">
        <v>603093.07815253</v>
      </c>
      <c r="V88" s="129">
        <v>278357.05032964</v>
      </c>
      <c r="W88" s="129">
        <v>804569.253862609</v>
      </c>
      <c r="X88" s="129">
        <v>9559.24346554</v>
      </c>
      <c r="Y88" s="129">
        <v>6528662.89972365</v>
      </c>
      <c r="Z88" s="223"/>
      <c r="AA88" s="38"/>
    </row>
    <row r="89" ht="15.6" spans="1:27">
      <c r="A89" s="630"/>
      <c r="B89" s="129" t="s">
        <v>389</v>
      </c>
      <c r="C89" s="129">
        <v>758321.38491733</v>
      </c>
      <c r="D89" s="129">
        <v>485308.389835</v>
      </c>
      <c r="E89" s="129">
        <v>273012.99508233</v>
      </c>
      <c r="F89" s="129">
        <v>1415039.0528648</v>
      </c>
      <c r="G89" s="129">
        <v>297974.85973598</v>
      </c>
      <c r="H89" s="129">
        <v>746185.69781177</v>
      </c>
      <c r="I89" s="129">
        <v>105503.64426108</v>
      </c>
      <c r="J89" s="129">
        <v>265374.85105597</v>
      </c>
      <c r="K89" s="129">
        <v>2065372.40866969</v>
      </c>
      <c r="L89" s="129">
        <v>43127.05020253</v>
      </c>
      <c r="M89" s="129">
        <v>7346.27323683</v>
      </c>
      <c r="N89" s="129">
        <v>414672.68057</v>
      </c>
      <c r="O89" s="129">
        <v>223365.62887443</v>
      </c>
      <c r="P89" s="129">
        <v>340804.14994537</v>
      </c>
      <c r="Q89" s="129">
        <v>738556.82866024</v>
      </c>
      <c r="R89" s="129">
        <v>297499.79718029</v>
      </c>
      <c r="S89" s="129">
        <v>2258807.08840655</v>
      </c>
      <c r="T89" s="129">
        <v>80181.26548438</v>
      </c>
      <c r="U89" s="129">
        <v>805332.73938933</v>
      </c>
      <c r="V89" s="129">
        <v>351615.98573457</v>
      </c>
      <c r="W89" s="129">
        <v>1021677.09779827</v>
      </c>
      <c r="X89" s="129">
        <v>9450.6218173</v>
      </c>
      <c r="Y89" s="129">
        <v>6506990.55667567</v>
      </c>
      <c r="Z89" s="223"/>
      <c r="AA89" s="38"/>
    </row>
    <row r="90" ht="15.6" spans="1:27">
      <c r="A90" s="630"/>
      <c r="B90" s="129" t="s">
        <v>390</v>
      </c>
      <c r="C90" s="129">
        <v>782058.05850269</v>
      </c>
      <c r="D90" s="129">
        <v>506112.20445623</v>
      </c>
      <c r="E90" s="129">
        <v>275945.85404646</v>
      </c>
      <c r="F90" s="129">
        <v>1208977.38163398</v>
      </c>
      <c r="G90" s="129">
        <v>342951.31737669</v>
      </c>
      <c r="H90" s="129">
        <v>362726.08676496</v>
      </c>
      <c r="I90" s="129">
        <v>76848.25744201</v>
      </c>
      <c r="J90" s="129">
        <v>426451.72005032</v>
      </c>
      <c r="K90" s="129">
        <v>3220463.46350445</v>
      </c>
      <c r="L90" s="129">
        <v>145625.53389316</v>
      </c>
      <c r="M90" s="129">
        <v>392896.96353749</v>
      </c>
      <c r="N90" s="129">
        <v>673585.09232817</v>
      </c>
      <c r="O90" s="129">
        <v>410001.86958094</v>
      </c>
      <c r="P90" s="129">
        <v>777918.80826603</v>
      </c>
      <c r="Q90" s="129">
        <v>338951.93496165</v>
      </c>
      <c r="R90" s="129">
        <v>481483.260937011</v>
      </c>
      <c r="S90" s="129">
        <v>1564812.71108226</v>
      </c>
      <c r="T90" s="129">
        <v>72671.36150189</v>
      </c>
      <c r="U90" s="129">
        <v>188234.49485668</v>
      </c>
      <c r="V90" s="129">
        <v>315306.12472056</v>
      </c>
      <c r="W90" s="129">
        <v>988600.73000313</v>
      </c>
      <c r="X90" s="129">
        <v>202364.0485755</v>
      </c>
      <c r="Y90" s="129">
        <v>6978675.66329888</v>
      </c>
      <c r="Z90" s="223"/>
      <c r="AA90" s="38"/>
    </row>
    <row r="91" ht="15.6" spans="1:27">
      <c r="A91" s="631">
        <v>2025</v>
      </c>
      <c r="B91" s="130" t="s">
        <v>379</v>
      </c>
      <c r="C91" s="130">
        <v>745322.501025757</v>
      </c>
      <c r="D91" s="130">
        <v>463202.974470357</v>
      </c>
      <c r="E91" s="130">
        <v>282119.5265554</v>
      </c>
      <c r="F91" s="130">
        <v>819318.41957401</v>
      </c>
      <c r="G91" s="130">
        <v>347064.67508493</v>
      </c>
      <c r="H91" s="130">
        <v>13382.96699104</v>
      </c>
      <c r="I91" s="130">
        <v>206329.37419438</v>
      </c>
      <c r="J91" s="130">
        <v>252541.40330366</v>
      </c>
      <c r="K91" s="130">
        <v>3431455.13835849</v>
      </c>
      <c r="L91" s="130">
        <v>53482.34080327</v>
      </c>
      <c r="M91" s="130">
        <v>41608.46865871</v>
      </c>
      <c r="N91" s="130">
        <v>814060.56156151</v>
      </c>
      <c r="O91" s="130">
        <v>812565.47426704</v>
      </c>
      <c r="P91" s="130">
        <v>239147.50825869</v>
      </c>
      <c r="Q91" s="130">
        <v>833620.87584263</v>
      </c>
      <c r="R91" s="130">
        <v>636969.90896664</v>
      </c>
      <c r="S91" s="130">
        <v>1792141.13992673</v>
      </c>
      <c r="T91" s="130">
        <v>26686.8936092</v>
      </c>
      <c r="U91" s="130">
        <v>492994.76240493</v>
      </c>
      <c r="V91" s="130">
        <v>81415.07242591</v>
      </c>
      <c r="W91" s="130">
        <v>1191044.41148669</v>
      </c>
      <c r="X91" s="130">
        <v>3610.14750157</v>
      </c>
      <c r="Y91" s="185">
        <v>6791847.34638656</v>
      </c>
      <c r="Z91" s="223"/>
      <c r="AA91" s="38"/>
    </row>
    <row r="92" ht="15.6" spans="1:27">
      <c r="A92" s="630"/>
      <c r="B92" s="130" t="s">
        <v>380</v>
      </c>
      <c r="C92" s="130">
        <v>524385.599791391</v>
      </c>
      <c r="D92" s="130">
        <v>273934.569565117</v>
      </c>
      <c r="E92" s="130">
        <v>250451.030226274</v>
      </c>
      <c r="F92" s="130">
        <v>1258855.58588704</v>
      </c>
      <c r="G92" s="130">
        <v>668555.59256442</v>
      </c>
      <c r="H92" s="130">
        <v>448840.31311793</v>
      </c>
      <c r="I92" s="130">
        <v>71596.85499635</v>
      </c>
      <c r="J92" s="130">
        <v>69862.8252083398</v>
      </c>
      <c r="K92" s="130">
        <v>2999042.3904263</v>
      </c>
      <c r="L92" s="130">
        <v>277407.43074973</v>
      </c>
      <c r="M92" s="130">
        <v>39840.91813613</v>
      </c>
      <c r="N92" s="130">
        <v>1035343.77873511</v>
      </c>
      <c r="O92" s="130">
        <v>221826.14530923</v>
      </c>
      <c r="P92" s="130">
        <v>745849.49611555</v>
      </c>
      <c r="Q92" s="130">
        <v>255946.88190002</v>
      </c>
      <c r="R92" s="130">
        <v>422827.73948053</v>
      </c>
      <c r="S92" s="130">
        <v>2224193.68522395</v>
      </c>
      <c r="T92" s="130">
        <v>20509.39077155</v>
      </c>
      <c r="U92" s="130">
        <v>861259.25962165</v>
      </c>
      <c r="V92" s="130">
        <v>79091.75787593</v>
      </c>
      <c r="W92" s="130">
        <v>1263333.27695482</v>
      </c>
      <c r="X92" s="130">
        <v>8282.42565075</v>
      </c>
      <c r="Y92" s="185">
        <v>7014759.68697943</v>
      </c>
      <c r="Z92" s="223"/>
      <c r="AA92" s="38"/>
    </row>
    <row r="93" ht="15.6" spans="1:27">
      <c r="A93" s="630"/>
      <c r="B93" s="130" t="s">
        <v>391</v>
      </c>
      <c r="C93" s="130">
        <v>584776.663064755</v>
      </c>
      <c r="D93" s="130">
        <v>330688.718237271</v>
      </c>
      <c r="E93" s="130">
        <v>254087.944827484</v>
      </c>
      <c r="F93" s="130">
        <v>1251280.52423132</v>
      </c>
      <c r="G93" s="130">
        <v>527952.93142759</v>
      </c>
      <c r="H93" s="130">
        <v>351212.29234097</v>
      </c>
      <c r="I93" s="130">
        <v>91155.32692196</v>
      </c>
      <c r="J93" s="130">
        <v>280959.9735408</v>
      </c>
      <c r="K93" s="130">
        <v>2212364.46151825</v>
      </c>
      <c r="L93" s="130">
        <v>151593.03078313</v>
      </c>
      <c r="M93" s="130">
        <v>194939.30873851</v>
      </c>
      <c r="N93" s="130">
        <v>409008.16295711</v>
      </c>
      <c r="O93" s="130">
        <v>208766.17796078</v>
      </c>
      <c r="P93" s="130">
        <v>458230.93761551</v>
      </c>
      <c r="Q93" s="130">
        <v>350448.87334021</v>
      </c>
      <c r="R93" s="130">
        <v>439377.970123</v>
      </c>
      <c r="S93" s="130">
        <v>2737485.27544173</v>
      </c>
      <c r="T93" s="130">
        <v>37486.54231804</v>
      </c>
      <c r="U93" s="130">
        <v>1487363.29235787</v>
      </c>
      <c r="V93" s="130">
        <v>140041.72632313</v>
      </c>
      <c r="W93" s="130">
        <v>1072593.71444269</v>
      </c>
      <c r="X93" s="130">
        <v>5966.7950176</v>
      </c>
      <c r="Y93" s="185">
        <v>6791873.71927365</v>
      </c>
      <c r="Z93" s="223"/>
      <c r="AA93" s="38"/>
    </row>
    <row r="94" spans="3:25"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</row>
    <row r="95" spans="3:25">
      <c r="C95" s="632"/>
      <c r="D95" s="632"/>
      <c r="E95" s="632"/>
      <c r="F95" s="632"/>
      <c r="G95" s="632"/>
      <c r="H95" s="632"/>
      <c r="I95" s="632"/>
      <c r="J95" s="632"/>
      <c r="K95" s="632"/>
      <c r="L95" s="632"/>
      <c r="M95" s="632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2"/>
      <c r="Y95" s="632"/>
    </row>
    <row r="96" spans="3:26">
      <c r="C96" s="632"/>
      <c r="D96" s="632"/>
      <c r="E96" s="632"/>
      <c r="F96" s="632"/>
      <c r="G96" s="632"/>
      <c r="H96" s="632"/>
      <c r="I96" s="632"/>
      <c r="J96" s="632"/>
      <c r="K96" s="632"/>
      <c r="L96" s="632"/>
      <c r="M96" s="632"/>
      <c r="N96" s="632"/>
      <c r="O96" s="632"/>
      <c r="P96" s="632"/>
      <c r="Q96" s="632"/>
      <c r="R96" s="632"/>
      <c r="S96" s="632"/>
      <c r="T96" s="632"/>
      <c r="U96" s="632"/>
      <c r="V96" s="632"/>
      <c r="X96"/>
      <c r="Y96"/>
      <c r="Z96"/>
    </row>
    <row r="97" spans="3:26"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2"/>
      <c r="P97" s="632"/>
      <c r="Q97" s="632"/>
      <c r="R97" s="632"/>
      <c r="S97" s="632"/>
      <c r="T97" s="632"/>
      <c r="U97" s="632"/>
      <c r="V97" s="632"/>
      <c r="X97"/>
      <c r="Y97"/>
      <c r="Z97"/>
    </row>
    <row r="98" spans="8:26">
      <c r="H98" s="282"/>
      <c r="K98" s="135"/>
      <c r="P98" s="282"/>
      <c r="S98" s="135"/>
      <c r="X98"/>
      <c r="Y98"/>
      <c r="Z98"/>
    </row>
    <row r="99" spans="3:26"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X99"/>
      <c r="Y99"/>
      <c r="Z99"/>
    </row>
    <row r="100" s="52" customFormat="1" spans="1:25">
      <c r="A100" s="633"/>
      <c r="B100" s="633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6"/>
      <c r="P100" s="626"/>
      <c r="Q100" s="626"/>
      <c r="R100" s="626"/>
      <c r="S100" s="626"/>
      <c r="T100" s="626"/>
      <c r="U100" s="626"/>
      <c r="V100" s="626"/>
      <c r="W100" s="633"/>
      <c r="X100" s="634"/>
      <c r="Y100" s="634"/>
    </row>
    <row r="101" spans="3:26"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X101"/>
      <c r="Y101"/>
      <c r="Z101"/>
    </row>
    <row r="102" spans="3:26"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X102"/>
      <c r="Y102"/>
      <c r="Z102"/>
    </row>
    <row r="103" spans="15:24">
      <c r="O103" s="633"/>
      <c r="P103" s="633"/>
      <c r="Q103" s="633"/>
      <c r="T103" s="635"/>
      <c r="U103" s="635"/>
      <c r="V103" s="635"/>
      <c r="W103" s="635"/>
      <c r="X103" s="635"/>
    </row>
    <row r="104" spans="3:25">
      <c r="C104" s="632"/>
      <c r="D104" s="632"/>
      <c r="E104" s="632"/>
      <c r="F104" s="632"/>
      <c r="G104" s="632"/>
      <c r="H104" s="632"/>
      <c r="I104" s="632"/>
      <c r="J104" s="632"/>
      <c r="K104" s="632"/>
      <c r="L104" s="632"/>
      <c r="M104" s="632"/>
      <c r="N104" s="632"/>
      <c r="O104" s="632"/>
      <c r="P104" s="632"/>
      <c r="Q104" s="632"/>
      <c r="R104" s="632"/>
      <c r="S104" s="632"/>
      <c r="T104" s="632"/>
      <c r="U104" s="632"/>
      <c r="V104" s="632"/>
      <c r="W104" s="632"/>
      <c r="X104" s="632"/>
      <c r="Y104" s="632"/>
    </row>
    <row r="105" spans="3:25">
      <c r="C105" s="632"/>
      <c r="D105" s="632"/>
      <c r="E105" s="632"/>
      <c r="F105" s="632"/>
      <c r="G105" s="632"/>
      <c r="H105" s="632"/>
      <c r="I105" s="632"/>
      <c r="J105" s="632"/>
      <c r="K105" s="632"/>
      <c r="L105" s="632"/>
      <c r="M105" s="632"/>
      <c r="N105" s="632"/>
      <c r="O105" s="632"/>
      <c r="P105" s="632"/>
      <c r="Q105" s="632"/>
      <c r="R105" s="632"/>
      <c r="S105" s="632"/>
      <c r="T105" s="632"/>
      <c r="U105" s="632"/>
      <c r="V105" s="632"/>
      <c r="W105" s="632"/>
      <c r="X105" s="632"/>
      <c r="Y105" s="632"/>
    </row>
  </sheetData>
  <mergeCells count="5">
    <mergeCell ref="A1:Y1"/>
    <mergeCell ref="C2:E2"/>
    <mergeCell ref="F2:I2"/>
    <mergeCell ref="K2:R2"/>
    <mergeCell ref="S2:W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70"/>
  <sheetViews>
    <sheetView zoomScale="88" zoomScaleNormal="88" workbookViewId="0">
      <selection activeCell="H10" sqref="H10"/>
    </sheetView>
  </sheetViews>
  <sheetFormatPr defaultColWidth="9" defaultRowHeight="15.6"/>
  <cols>
    <col min="3" max="3" width="15.4537037037037" style="17" customWidth="1"/>
    <col min="4" max="4" width="30.4537037037037" style="17" customWidth="1"/>
    <col min="5" max="5" width="15.8148148148148" style="52" customWidth="1"/>
    <col min="6" max="8" width="15.8148148148148" customWidth="1"/>
    <col min="9" max="9" width="15.4537037037037" customWidth="1"/>
    <col min="10" max="10" width="15.8148148148148" customWidth="1"/>
    <col min="11" max="11" width="11.7222222222222" customWidth="1"/>
    <col min="12" max="12" width="15.4537037037037" style="17" customWidth="1"/>
    <col min="13" max="13" width="23.1759259259259" style="17" customWidth="1"/>
    <col min="14" max="17" width="13.8148148148148" customWidth="1"/>
    <col min="18" max="18" width="15.4537037037037" customWidth="1"/>
    <col min="19" max="19" width="16.8148148148148" customWidth="1"/>
  </cols>
  <sheetData>
    <row r="1" ht="16.35" spans="4:14">
      <c r="D1" s="502"/>
      <c r="N1" s="52"/>
    </row>
    <row r="2" ht="21.9" spans="3:19">
      <c r="C2" s="503" t="s">
        <v>443</v>
      </c>
      <c r="D2" s="504"/>
      <c r="E2" s="504"/>
      <c r="F2" s="504"/>
      <c r="G2" s="504"/>
      <c r="H2" s="504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82"/>
    </row>
    <row r="3" s="17" customFormat="1" ht="17.1" spans="3:19">
      <c r="C3" s="505" t="s">
        <v>444</v>
      </c>
      <c r="D3" s="506"/>
      <c r="E3" s="506"/>
      <c r="F3" s="506"/>
      <c r="G3" s="506"/>
      <c r="H3" s="506"/>
      <c r="I3" s="506"/>
      <c r="J3" s="541"/>
      <c r="K3" s="542"/>
      <c r="L3" s="543" t="s">
        <v>445</v>
      </c>
      <c r="M3" s="544"/>
      <c r="N3" s="544"/>
      <c r="O3" s="544"/>
      <c r="P3" s="544"/>
      <c r="Q3" s="544"/>
      <c r="R3" s="544"/>
      <c r="S3" s="583"/>
    </row>
    <row r="4" s="17" customFormat="1" ht="16.35" spans="3:19">
      <c r="C4" s="507" t="s">
        <v>446</v>
      </c>
      <c r="D4" s="508" t="s">
        <v>447</v>
      </c>
      <c r="E4" s="509">
        <v>2020</v>
      </c>
      <c r="F4" s="510">
        <v>2021</v>
      </c>
      <c r="G4" s="509">
        <v>2022</v>
      </c>
      <c r="H4" s="510">
        <v>2023</v>
      </c>
      <c r="I4" s="545">
        <v>2024</v>
      </c>
      <c r="J4" s="545" t="s">
        <v>448</v>
      </c>
      <c r="K4" s="546"/>
      <c r="L4" s="547" t="s">
        <v>446</v>
      </c>
      <c r="M4" s="548" t="s">
        <v>447</v>
      </c>
      <c r="N4" s="549">
        <v>2020</v>
      </c>
      <c r="O4" s="550">
        <v>2021</v>
      </c>
      <c r="P4" s="549">
        <v>2022</v>
      </c>
      <c r="Q4" s="550">
        <v>2023</v>
      </c>
      <c r="R4" s="584">
        <v>2024</v>
      </c>
      <c r="S4" s="585" t="s">
        <v>448</v>
      </c>
    </row>
    <row r="5" spans="3:19">
      <c r="C5" s="511" t="s">
        <v>449</v>
      </c>
      <c r="D5" s="7" t="s">
        <v>211</v>
      </c>
      <c r="E5" s="512">
        <v>572.75597417</v>
      </c>
      <c r="F5" s="512">
        <v>641.000501713</v>
      </c>
      <c r="G5" s="512">
        <v>1418.357439287</v>
      </c>
      <c r="H5" s="512">
        <v>1813.447706867</v>
      </c>
      <c r="I5" s="551">
        <v>3980.84658994</v>
      </c>
      <c r="J5" s="552">
        <v>109.14828865</v>
      </c>
      <c r="K5" s="553"/>
      <c r="L5" s="554" t="s">
        <v>449</v>
      </c>
      <c r="M5" s="7" t="s">
        <v>211</v>
      </c>
      <c r="N5" s="512">
        <v>226.09702</v>
      </c>
      <c r="O5" s="512">
        <v>3089.55777</v>
      </c>
      <c r="P5" s="512">
        <v>19230.986895</v>
      </c>
      <c r="Q5" s="512">
        <v>495.810859</v>
      </c>
      <c r="R5" s="586">
        <v>4897.573261</v>
      </c>
      <c r="S5" s="587">
        <v>124392.15063802</v>
      </c>
    </row>
    <row r="6" spans="3:19">
      <c r="C6" s="511"/>
      <c r="D6" s="7" t="s">
        <v>215</v>
      </c>
      <c r="E6" s="512">
        <v>703.53287085</v>
      </c>
      <c r="F6" s="512">
        <v>1186.29113514</v>
      </c>
      <c r="G6" s="512">
        <v>747.510424919</v>
      </c>
      <c r="H6" s="512">
        <v>3270.669601241</v>
      </c>
      <c r="I6" s="551">
        <v>157145.830409923</v>
      </c>
      <c r="J6" s="552">
        <v>1657.15023557</v>
      </c>
      <c r="K6" s="553"/>
      <c r="L6" s="519"/>
      <c r="M6" s="7" t="s">
        <v>215</v>
      </c>
      <c r="N6" s="512">
        <v>39154.39468</v>
      </c>
      <c r="O6" s="512">
        <v>56451.97089</v>
      </c>
      <c r="P6" s="512">
        <v>59786.611934</v>
      </c>
      <c r="Q6" s="512">
        <v>107773.450454</v>
      </c>
      <c r="R6" s="586">
        <v>268362.145153</v>
      </c>
      <c r="S6" s="587">
        <v>90209.239241</v>
      </c>
    </row>
    <row r="7" spans="3:19">
      <c r="C7" s="511"/>
      <c r="D7" s="7" t="s">
        <v>450</v>
      </c>
      <c r="E7" s="512">
        <v>107.455066</v>
      </c>
      <c r="F7" s="512">
        <v>363.9263013</v>
      </c>
      <c r="G7" s="512">
        <v>416.860896878</v>
      </c>
      <c r="H7" s="512">
        <v>579.31020816</v>
      </c>
      <c r="I7" s="551">
        <v>1728.210612244</v>
      </c>
      <c r="J7" s="552">
        <v>1077.86835029</v>
      </c>
      <c r="K7" s="553"/>
      <c r="L7" s="519"/>
      <c r="M7" s="7" t="s">
        <v>450</v>
      </c>
      <c r="N7" s="512">
        <v>0.909659</v>
      </c>
      <c r="O7" s="512">
        <v>72.118372</v>
      </c>
      <c r="P7" s="512">
        <v>62.624829</v>
      </c>
      <c r="Q7" s="512">
        <v>5.997115</v>
      </c>
      <c r="R7" s="586">
        <v>7821.90256</v>
      </c>
      <c r="S7" s="587">
        <v>2600.292183</v>
      </c>
    </row>
    <row r="8" spans="3:19">
      <c r="C8" s="511"/>
      <c r="D8" s="7" t="s">
        <v>223</v>
      </c>
      <c r="E8" s="512">
        <v>1762.02904105</v>
      </c>
      <c r="F8" s="512">
        <v>5773.80878884</v>
      </c>
      <c r="G8" s="512">
        <v>5744.549352247</v>
      </c>
      <c r="H8" s="512">
        <v>11992.37843147</v>
      </c>
      <c r="I8" s="551">
        <v>13104.835523742</v>
      </c>
      <c r="J8" s="552">
        <v>6064.3991467</v>
      </c>
      <c r="K8" s="553"/>
      <c r="L8" s="519"/>
      <c r="M8" s="7" t="s">
        <v>223</v>
      </c>
      <c r="N8" s="512">
        <v>34181.462097</v>
      </c>
      <c r="O8" s="512">
        <v>52605.458661</v>
      </c>
      <c r="P8" s="512">
        <v>80242.523614</v>
      </c>
      <c r="Q8" s="512">
        <v>43035.596804</v>
      </c>
      <c r="R8" s="586">
        <v>148419.349317</v>
      </c>
      <c r="S8" s="587">
        <v>56272.156991</v>
      </c>
    </row>
    <row r="9" spans="3:19">
      <c r="C9" s="511"/>
      <c r="D9" s="7" t="s">
        <v>451</v>
      </c>
      <c r="E9" s="512">
        <v>934.48407828</v>
      </c>
      <c r="F9" s="512">
        <v>2362.97229205</v>
      </c>
      <c r="G9" s="512">
        <v>3583.78544127</v>
      </c>
      <c r="H9" s="512">
        <v>2622.46382347</v>
      </c>
      <c r="I9" s="551">
        <v>387.44034122</v>
      </c>
      <c r="J9" s="552">
        <v>0</v>
      </c>
      <c r="K9" s="553"/>
      <c r="L9" s="519"/>
      <c r="M9" s="7" t="s">
        <v>451</v>
      </c>
      <c r="N9" s="512">
        <v>1677.555037</v>
      </c>
      <c r="O9" s="512">
        <v>2725.941998</v>
      </c>
      <c r="P9" s="512">
        <v>6176.354808</v>
      </c>
      <c r="Q9" s="512">
        <v>3768.853937</v>
      </c>
      <c r="R9" s="586">
        <v>5492.192644</v>
      </c>
      <c r="S9" s="587">
        <v>2987.199048</v>
      </c>
    </row>
    <row r="10" spans="3:19">
      <c r="C10" s="511"/>
      <c r="D10" s="7" t="s">
        <v>452</v>
      </c>
      <c r="E10" s="512">
        <v>0</v>
      </c>
      <c r="F10" s="512">
        <v>182.35168167</v>
      </c>
      <c r="G10" s="512">
        <v>161.734996493</v>
      </c>
      <c r="H10" s="512">
        <v>19721.68301729</v>
      </c>
      <c r="I10" s="551">
        <v>251.244977</v>
      </c>
      <c r="J10" s="552">
        <v>274.73982588</v>
      </c>
      <c r="K10" s="553"/>
      <c r="L10" s="521"/>
      <c r="M10" s="7" t="s">
        <v>452</v>
      </c>
      <c r="N10" s="512">
        <v>32760.941718</v>
      </c>
      <c r="O10" s="512">
        <v>2886.673099</v>
      </c>
      <c r="P10" s="512">
        <v>9800.594732</v>
      </c>
      <c r="Q10" s="512">
        <v>74294.37276885</v>
      </c>
      <c r="R10" s="586">
        <v>17424.814065</v>
      </c>
      <c r="S10" s="587">
        <v>1473.013385</v>
      </c>
    </row>
    <row r="11" s="17" customFormat="1" ht="16.35" spans="3:19">
      <c r="C11" s="513"/>
      <c r="D11" s="514"/>
      <c r="E11" s="515"/>
      <c r="F11" s="515"/>
      <c r="G11" s="515"/>
      <c r="H11" s="515"/>
      <c r="I11" s="555"/>
      <c r="J11" s="556"/>
      <c r="K11" s="553"/>
      <c r="L11" s="557"/>
      <c r="M11" s="558"/>
      <c r="N11" s="540"/>
      <c r="O11" s="540"/>
      <c r="P11" s="540"/>
      <c r="Q11" s="540"/>
      <c r="R11" s="588"/>
      <c r="S11" s="589"/>
    </row>
    <row r="12" ht="16.35" spans="3:19">
      <c r="C12" s="516" t="s">
        <v>453</v>
      </c>
      <c r="D12" s="517" t="s">
        <v>217</v>
      </c>
      <c r="E12" s="518">
        <v>19675.86055863</v>
      </c>
      <c r="F12" s="518">
        <v>31908.31426214</v>
      </c>
      <c r="G12" s="518">
        <v>56940.579931954</v>
      </c>
      <c r="H12" s="518">
        <v>80133.144730732</v>
      </c>
      <c r="I12" s="551">
        <v>142088.010438087</v>
      </c>
      <c r="J12" s="552">
        <v>32701.610634434</v>
      </c>
      <c r="K12" s="559"/>
      <c r="L12" s="560" t="s">
        <v>453</v>
      </c>
      <c r="M12" s="508" t="s">
        <v>217</v>
      </c>
      <c r="N12" s="526">
        <v>2016.453184</v>
      </c>
      <c r="O12" s="526">
        <v>6614.159977</v>
      </c>
      <c r="P12" s="526">
        <v>1320.575476</v>
      </c>
      <c r="Q12" s="526">
        <v>3306.040138</v>
      </c>
      <c r="R12" s="590">
        <v>4649.375683</v>
      </c>
      <c r="S12" s="587">
        <v>1662.424449</v>
      </c>
    </row>
    <row r="13" spans="3:19">
      <c r="C13" s="519"/>
      <c r="D13" s="7" t="s">
        <v>229</v>
      </c>
      <c r="E13" s="512">
        <v>24.03285262</v>
      </c>
      <c r="F13" s="512">
        <v>15957.185855954</v>
      </c>
      <c r="G13" s="512">
        <v>5774.85578522</v>
      </c>
      <c r="H13" s="512">
        <v>12918.766703015</v>
      </c>
      <c r="I13" s="551">
        <v>18197.35579973</v>
      </c>
      <c r="J13" s="552">
        <v>6680.11666812</v>
      </c>
      <c r="K13" s="559"/>
      <c r="L13" s="519"/>
      <c r="M13" s="7" t="s">
        <v>229</v>
      </c>
      <c r="N13" s="512">
        <v>5.612264</v>
      </c>
      <c r="O13" s="512">
        <v>2.330679</v>
      </c>
      <c r="P13" s="512">
        <v>16.918465</v>
      </c>
      <c r="Q13" s="512">
        <v>4.40748</v>
      </c>
      <c r="R13" s="586">
        <v>59.164153</v>
      </c>
      <c r="S13" s="587">
        <v>2.179082</v>
      </c>
    </row>
    <row r="14" spans="3:19">
      <c r="C14" s="519"/>
      <c r="D14" s="7" t="s">
        <v>454</v>
      </c>
      <c r="E14" s="512">
        <v>0</v>
      </c>
      <c r="F14" s="512">
        <v>13.65504</v>
      </c>
      <c r="G14" s="512">
        <v>0</v>
      </c>
      <c r="H14" s="512">
        <v>0</v>
      </c>
      <c r="I14" s="551">
        <v>17.99361144</v>
      </c>
      <c r="J14" s="552">
        <v>0</v>
      </c>
      <c r="K14" s="559"/>
      <c r="L14" s="519"/>
      <c r="M14" s="7" t="s">
        <v>454</v>
      </c>
      <c r="N14" s="512">
        <v>0.44897</v>
      </c>
      <c r="O14" s="512">
        <v>2.69716</v>
      </c>
      <c r="P14" s="512">
        <v>0.213771</v>
      </c>
      <c r="Q14" s="512">
        <v>33.732295</v>
      </c>
      <c r="R14" s="586">
        <v>178.592411</v>
      </c>
      <c r="S14" s="587">
        <v>0</v>
      </c>
    </row>
    <row r="15" spans="3:19">
      <c r="C15" s="519"/>
      <c r="D15" s="7" t="s">
        <v>455</v>
      </c>
      <c r="E15" s="512">
        <v>533.56210293</v>
      </c>
      <c r="F15" s="512">
        <v>587.31693768</v>
      </c>
      <c r="G15" s="512">
        <v>293.34041614</v>
      </c>
      <c r="H15" s="512">
        <v>1177.140920064</v>
      </c>
      <c r="I15" s="551">
        <v>3936.14557101</v>
      </c>
      <c r="J15" s="552">
        <v>160.3879915</v>
      </c>
      <c r="K15" s="559"/>
      <c r="L15" s="519"/>
      <c r="M15" s="7" t="s">
        <v>455</v>
      </c>
      <c r="N15" s="512">
        <v>35.589482</v>
      </c>
      <c r="O15" s="512">
        <v>154.469293</v>
      </c>
      <c r="P15" s="512">
        <v>26.607025</v>
      </c>
      <c r="Q15" s="512">
        <v>11.178556</v>
      </c>
      <c r="R15" s="586">
        <v>82.160313</v>
      </c>
      <c r="S15" s="587">
        <v>15.593438</v>
      </c>
    </row>
    <row r="16" spans="3:19">
      <c r="C16" s="519"/>
      <c r="D16" s="7" t="s">
        <v>213</v>
      </c>
      <c r="E16" s="512">
        <v>137167.91562493</v>
      </c>
      <c r="F16" s="512">
        <v>143215.210325181</v>
      </c>
      <c r="G16" s="512">
        <v>74612.048480931</v>
      </c>
      <c r="H16" s="512">
        <v>68673.660503253</v>
      </c>
      <c r="I16" s="551">
        <v>208719.050021671</v>
      </c>
      <c r="J16" s="552">
        <v>122068.68677239</v>
      </c>
      <c r="K16" s="559"/>
      <c r="L16" s="519"/>
      <c r="M16" s="7" t="s">
        <v>213</v>
      </c>
      <c r="N16" s="512">
        <v>11711.925415</v>
      </c>
      <c r="O16" s="512">
        <v>20175.7487</v>
      </c>
      <c r="P16" s="512">
        <v>20925.620578</v>
      </c>
      <c r="Q16" s="512">
        <v>31820.118302</v>
      </c>
      <c r="R16" s="586">
        <v>78201.432309</v>
      </c>
      <c r="S16" s="587">
        <v>21811.92975</v>
      </c>
    </row>
    <row r="17" spans="3:19">
      <c r="C17" s="520"/>
      <c r="D17" s="7" t="s">
        <v>244</v>
      </c>
      <c r="E17" s="512">
        <v>1233.99125759</v>
      </c>
      <c r="F17" s="512">
        <v>332.9685537</v>
      </c>
      <c r="G17" s="512">
        <v>1601.3328364</v>
      </c>
      <c r="H17" s="512">
        <v>1222.7763196</v>
      </c>
      <c r="I17" s="551">
        <v>4605.3402274</v>
      </c>
      <c r="J17" s="552">
        <v>484.8710955</v>
      </c>
      <c r="K17" s="559"/>
      <c r="L17" s="519"/>
      <c r="M17" s="7" t="s">
        <v>244</v>
      </c>
      <c r="N17" s="512">
        <v>0.4007</v>
      </c>
      <c r="O17" s="512">
        <v>0.45674</v>
      </c>
      <c r="P17" s="512">
        <v>159.929889</v>
      </c>
      <c r="Q17" s="512">
        <v>132.710467</v>
      </c>
      <c r="R17" s="586">
        <v>2.565348</v>
      </c>
      <c r="S17" s="587">
        <v>0</v>
      </c>
    </row>
    <row r="18" spans="3:19">
      <c r="C18" s="520"/>
      <c r="D18" s="7" t="s">
        <v>456</v>
      </c>
      <c r="E18" s="512">
        <v>698.3711044</v>
      </c>
      <c r="F18" s="512">
        <v>3298.316042382</v>
      </c>
      <c r="G18" s="512">
        <v>8658.329288805</v>
      </c>
      <c r="H18" s="512">
        <v>1826.69521719</v>
      </c>
      <c r="I18" s="551">
        <v>3526.73637289</v>
      </c>
      <c r="J18" s="552">
        <v>364.59060687</v>
      </c>
      <c r="K18" s="559"/>
      <c r="L18" s="519"/>
      <c r="M18" s="7" t="s">
        <v>456</v>
      </c>
      <c r="N18" s="512">
        <v>10337.010526</v>
      </c>
      <c r="O18" s="512">
        <v>4441.439649</v>
      </c>
      <c r="P18" s="512">
        <v>0</v>
      </c>
      <c r="Q18" s="512">
        <v>0</v>
      </c>
      <c r="R18" s="586">
        <v>85.214575</v>
      </c>
      <c r="S18" s="587">
        <v>27.241592</v>
      </c>
    </row>
    <row r="19" spans="3:19">
      <c r="C19" s="519"/>
      <c r="D19" s="7" t="s">
        <v>205</v>
      </c>
      <c r="E19" s="512">
        <v>322441.1509117</v>
      </c>
      <c r="F19" s="512">
        <v>530755.538322188</v>
      </c>
      <c r="G19" s="512">
        <v>900321.601129166</v>
      </c>
      <c r="H19" s="512">
        <v>1444569.99920528</v>
      </c>
      <c r="I19" s="551">
        <v>2934256.12721472</v>
      </c>
      <c r="J19" s="552">
        <v>428564.94140576</v>
      </c>
      <c r="K19" s="559"/>
      <c r="L19" s="519"/>
      <c r="M19" s="7" t="s">
        <v>205</v>
      </c>
      <c r="N19" s="512">
        <v>23360.626191</v>
      </c>
      <c r="O19" s="512">
        <v>29067.647145</v>
      </c>
      <c r="P19" s="512">
        <v>55043.564011</v>
      </c>
      <c r="Q19" s="512">
        <v>56798.857167</v>
      </c>
      <c r="R19" s="586">
        <v>185746.12815873</v>
      </c>
      <c r="S19" s="587">
        <v>28556.101564</v>
      </c>
    </row>
    <row r="20" spans="3:19">
      <c r="C20" s="519"/>
      <c r="D20" s="7" t="s">
        <v>236</v>
      </c>
      <c r="E20" s="512">
        <v>4619.01716169</v>
      </c>
      <c r="F20" s="512">
        <v>8127.512462304</v>
      </c>
      <c r="G20" s="512">
        <v>447.562953045</v>
      </c>
      <c r="H20" s="512">
        <v>3785.013197173</v>
      </c>
      <c r="I20" s="551">
        <v>32497.59150844</v>
      </c>
      <c r="J20" s="552">
        <v>761.85612533</v>
      </c>
      <c r="K20" s="559"/>
      <c r="L20" s="519"/>
      <c r="M20" s="7" t="s">
        <v>236</v>
      </c>
      <c r="N20" s="512">
        <v>403.560006</v>
      </c>
      <c r="O20" s="512">
        <v>3555.287771</v>
      </c>
      <c r="P20" s="512">
        <v>416.616708</v>
      </c>
      <c r="Q20" s="512">
        <v>625.198907</v>
      </c>
      <c r="R20" s="586">
        <v>8991.050608</v>
      </c>
      <c r="S20" s="587">
        <v>15227.608625</v>
      </c>
    </row>
    <row r="21" spans="3:19">
      <c r="C21" s="519"/>
      <c r="D21" s="7" t="s">
        <v>242</v>
      </c>
      <c r="E21" s="512">
        <v>967.68962829</v>
      </c>
      <c r="F21" s="512">
        <v>2002.018461103</v>
      </c>
      <c r="G21" s="512">
        <v>7368.639387171</v>
      </c>
      <c r="H21" s="512">
        <v>12304.513354814</v>
      </c>
      <c r="I21" s="551">
        <v>15424.502438992</v>
      </c>
      <c r="J21" s="552">
        <v>212.77773808</v>
      </c>
      <c r="K21" s="559"/>
      <c r="L21" s="519"/>
      <c r="M21" s="7" t="s">
        <v>242</v>
      </c>
      <c r="N21" s="512">
        <v>2.766967</v>
      </c>
      <c r="O21" s="512">
        <v>71.374312</v>
      </c>
      <c r="P21" s="512">
        <v>70.113559</v>
      </c>
      <c r="Q21" s="512">
        <v>269.874927</v>
      </c>
      <c r="R21" s="586">
        <v>183786.637542612</v>
      </c>
      <c r="S21" s="587">
        <v>110.857086</v>
      </c>
    </row>
    <row r="22" spans="3:19">
      <c r="C22" s="519"/>
      <c r="D22" s="7" t="s">
        <v>221</v>
      </c>
      <c r="E22" s="512">
        <v>6524.764548576</v>
      </c>
      <c r="F22" s="512">
        <v>78404.018948952</v>
      </c>
      <c r="G22" s="512">
        <v>81614.411767992</v>
      </c>
      <c r="H22" s="512">
        <v>46505.363925094</v>
      </c>
      <c r="I22" s="551">
        <v>82383.60473999</v>
      </c>
      <c r="J22" s="552">
        <v>25204.610371703</v>
      </c>
      <c r="K22" s="559"/>
      <c r="L22" s="519"/>
      <c r="M22" s="7" t="s">
        <v>221</v>
      </c>
      <c r="N22" s="512">
        <v>165.703191</v>
      </c>
      <c r="O22" s="512">
        <v>10197.247225</v>
      </c>
      <c r="P22" s="512">
        <v>14141.936825</v>
      </c>
      <c r="Q22" s="512">
        <v>3971.899195</v>
      </c>
      <c r="R22" s="586">
        <v>9531.748001</v>
      </c>
      <c r="S22" s="587">
        <v>3988.976618</v>
      </c>
    </row>
    <row r="23" spans="3:19">
      <c r="C23" s="519"/>
      <c r="D23" s="7" t="s">
        <v>209</v>
      </c>
      <c r="E23" s="512">
        <v>126606.54506776</v>
      </c>
      <c r="F23" s="512">
        <v>225560.827247849</v>
      </c>
      <c r="G23" s="512">
        <v>310447.489088321</v>
      </c>
      <c r="H23" s="512">
        <v>499676.997088039</v>
      </c>
      <c r="I23" s="551">
        <v>980246.905613311</v>
      </c>
      <c r="J23" s="552">
        <v>346256.22270046</v>
      </c>
      <c r="K23" s="559"/>
      <c r="L23" s="519"/>
      <c r="M23" s="7" t="s">
        <v>209</v>
      </c>
      <c r="N23" s="512">
        <v>3639.51312</v>
      </c>
      <c r="O23" s="512">
        <v>4937.085706</v>
      </c>
      <c r="P23" s="512">
        <v>3617.166268</v>
      </c>
      <c r="Q23" s="512">
        <v>1898.300554</v>
      </c>
      <c r="R23" s="586">
        <v>3788.487754</v>
      </c>
      <c r="S23" s="587">
        <v>63.151104</v>
      </c>
    </row>
    <row r="24" spans="3:19">
      <c r="C24" s="519"/>
      <c r="D24" s="7" t="s">
        <v>240</v>
      </c>
      <c r="E24" s="512">
        <v>482.27481997</v>
      </c>
      <c r="F24" s="512">
        <v>962.719707291</v>
      </c>
      <c r="G24" s="512">
        <v>695.760463041</v>
      </c>
      <c r="H24" s="512">
        <v>3063.00940114</v>
      </c>
      <c r="I24" s="551">
        <v>4384.59013223</v>
      </c>
      <c r="J24" s="552">
        <v>1665.9602687</v>
      </c>
      <c r="K24" s="559"/>
      <c r="L24" s="519"/>
      <c r="M24" s="7" t="s">
        <v>240</v>
      </c>
      <c r="N24" s="512">
        <v>861.712903</v>
      </c>
      <c r="O24" s="512">
        <v>2122.964203</v>
      </c>
      <c r="P24" s="512">
        <v>1098.823891</v>
      </c>
      <c r="Q24" s="512">
        <v>613.992708</v>
      </c>
      <c r="R24" s="586">
        <v>3040.744009</v>
      </c>
      <c r="S24" s="587">
        <v>685.425351</v>
      </c>
    </row>
    <row r="25" spans="3:19">
      <c r="C25" s="519"/>
      <c r="D25" s="7" t="s">
        <v>207</v>
      </c>
      <c r="E25" s="512">
        <v>214278.92638266</v>
      </c>
      <c r="F25" s="512">
        <v>198648.352838857</v>
      </c>
      <c r="G25" s="512">
        <v>298200.26687456</v>
      </c>
      <c r="H25" s="512">
        <v>61352.954362203</v>
      </c>
      <c r="I25" s="551">
        <v>853456.39718692</v>
      </c>
      <c r="J25" s="552">
        <v>134797.134671801</v>
      </c>
      <c r="K25" s="559"/>
      <c r="L25" s="521"/>
      <c r="M25" s="7" t="s">
        <v>207</v>
      </c>
      <c r="N25" s="512">
        <v>8751.886081</v>
      </c>
      <c r="O25" s="512">
        <v>1122.756019</v>
      </c>
      <c r="P25" s="512">
        <v>39196.458809</v>
      </c>
      <c r="Q25" s="512">
        <v>68795.564736511</v>
      </c>
      <c r="R25" s="586">
        <v>122211.207208699</v>
      </c>
      <c r="S25" s="587">
        <v>132312.733963</v>
      </c>
    </row>
    <row r="26" spans="3:19">
      <c r="C26" s="521"/>
      <c r="D26" s="7" t="s">
        <v>238</v>
      </c>
      <c r="E26" s="512">
        <v>169.60233606</v>
      </c>
      <c r="F26" s="512">
        <v>45.370399312</v>
      </c>
      <c r="G26" s="512">
        <v>661.485026136</v>
      </c>
      <c r="H26" s="512">
        <v>164.92173306</v>
      </c>
      <c r="I26" s="551">
        <v>1463.15192952</v>
      </c>
      <c r="J26" s="552">
        <v>82.05614587</v>
      </c>
      <c r="K26" s="559"/>
      <c r="L26" s="561"/>
      <c r="M26" s="7" t="s">
        <v>238</v>
      </c>
      <c r="N26" s="512">
        <v>13658.196176</v>
      </c>
      <c r="O26" s="512">
        <v>23443.988651</v>
      </c>
      <c r="P26" s="512">
        <v>13633.47545</v>
      </c>
      <c r="Q26" s="512">
        <v>8410.384053</v>
      </c>
      <c r="R26" s="586">
        <v>21775.523095</v>
      </c>
      <c r="S26" s="587">
        <v>8592.953152</v>
      </c>
    </row>
    <row r="27" s="17" customFormat="1" ht="16.35" spans="3:19">
      <c r="C27" s="522"/>
      <c r="D27" s="523"/>
      <c r="E27" s="524"/>
      <c r="F27" s="524"/>
      <c r="G27" s="524"/>
      <c r="H27" s="524"/>
      <c r="I27" s="562"/>
      <c r="J27" s="563"/>
      <c r="K27" s="553"/>
      <c r="L27" s="557"/>
      <c r="M27" s="558"/>
      <c r="N27" s="540"/>
      <c r="O27" s="540"/>
      <c r="P27" s="540"/>
      <c r="Q27" s="540"/>
      <c r="R27" s="588"/>
      <c r="S27" s="589"/>
    </row>
    <row r="28" ht="16.35" spans="3:19">
      <c r="C28" s="525" t="s">
        <v>457</v>
      </c>
      <c r="D28" s="508" t="s">
        <v>203</v>
      </c>
      <c r="E28" s="526">
        <v>258.15607276</v>
      </c>
      <c r="F28" s="526">
        <v>811.530992016</v>
      </c>
      <c r="G28" s="526">
        <v>1222.121199945</v>
      </c>
      <c r="H28" s="526">
        <v>2977.19745844</v>
      </c>
      <c r="I28" s="551">
        <v>33512.439599904</v>
      </c>
      <c r="J28" s="552">
        <v>1220.36727275</v>
      </c>
      <c r="K28" s="553"/>
      <c r="L28" s="560" t="s">
        <v>457</v>
      </c>
      <c r="M28" s="548" t="s">
        <v>203</v>
      </c>
      <c r="N28" s="564">
        <v>667.198242</v>
      </c>
      <c r="O28" s="564">
        <v>10481.674136</v>
      </c>
      <c r="P28" s="564">
        <v>3389.82243</v>
      </c>
      <c r="Q28" s="564">
        <v>413.710468</v>
      </c>
      <c r="R28" s="586">
        <v>3627.197849</v>
      </c>
      <c r="S28" s="587">
        <v>224393.74815933</v>
      </c>
    </row>
    <row r="29" spans="3:19">
      <c r="C29" s="511"/>
      <c r="D29" s="7" t="s">
        <v>225</v>
      </c>
      <c r="E29" s="512">
        <v>432431.811919969</v>
      </c>
      <c r="F29" s="512">
        <v>220408.950414327</v>
      </c>
      <c r="G29" s="512">
        <v>51296.688870488</v>
      </c>
      <c r="H29" s="512">
        <v>93565.260210171</v>
      </c>
      <c r="I29" s="551">
        <v>193351.839510241</v>
      </c>
      <c r="J29" s="552">
        <v>21118.03664464</v>
      </c>
      <c r="K29" s="553"/>
      <c r="L29" s="519"/>
      <c r="M29" s="7" t="s">
        <v>225</v>
      </c>
      <c r="N29" s="512">
        <v>924.050242</v>
      </c>
      <c r="O29" s="512">
        <v>1167.534804</v>
      </c>
      <c r="P29" s="512">
        <v>2086.564492</v>
      </c>
      <c r="Q29" s="512">
        <v>3197.348203</v>
      </c>
      <c r="R29" s="586">
        <v>2611.884503</v>
      </c>
      <c r="S29" s="587">
        <v>1212.635736</v>
      </c>
    </row>
    <row r="30" spans="3:19">
      <c r="C30" s="511"/>
      <c r="D30" s="7" t="s">
        <v>458</v>
      </c>
      <c r="E30" s="512">
        <v>0</v>
      </c>
      <c r="F30" s="512">
        <v>0</v>
      </c>
      <c r="G30" s="512">
        <v>0</v>
      </c>
      <c r="H30" s="512">
        <v>0</v>
      </c>
      <c r="I30" s="551">
        <v>508.6906752</v>
      </c>
      <c r="J30" s="552">
        <v>0</v>
      </c>
      <c r="K30" s="553"/>
      <c r="L30" s="519"/>
      <c r="M30" s="7" t="s">
        <v>458</v>
      </c>
      <c r="N30" s="512">
        <v>0.06284</v>
      </c>
      <c r="O30" s="512">
        <v>58.625873</v>
      </c>
      <c r="P30" s="512">
        <v>2.442805</v>
      </c>
      <c r="Q30" s="512">
        <v>1.458764</v>
      </c>
      <c r="R30" s="586">
        <v>0</v>
      </c>
      <c r="S30" s="587">
        <v>0.039612</v>
      </c>
    </row>
    <row r="31" spans="3:19">
      <c r="C31" s="511"/>
      <c r="D31" s="7" t="s">
        <v>260</v>
      </c>
      <c r="E31" s="512">
        <v>6442.36080984</v>
      </c>
      <c r="F31" s="512">
        <v>1733.30031271</v>
      </c>
      <c r="G31" s="512">
        <v>2534.7697279</v>
      </c>
      <c r="H31" s="512">
        <v>397.25435713</v>
      </c>
      <c r="I31" s="551">
        <v>888.56306889</v>
      </c>
      <c r="J31" s="552">
        <v>9.724279</v>
      </c>
      <c r="K31" s="553"/>
      <c r="L31" s="519"/>
      <c r="M31" s="7" t="s">
        <v>260</v>
      </c>
      <c r="N31" s="512">
        <v>67.065657</v>
      </c>
      <c r="O31" s="512">
        <v>14.521188</v>
      </c>
      <c r="P31" s="512">
        <v>142.46194</v>
      </c>
      <c r="Q31" s="512">
        <v>1.002918</v>
      </c>
      <c r="R31" s="586">
        <v>13.058992</v>
      </c>
      <c r="S31" s="587">
        <v>0.015336</v>
      </c>
    </row>
    <row r="32" spans="3:19">
      <c r="C32" s="511"/>
      <c r="D32" s="7" t="s">
        <v>294</v>
      </c>
      <c r="E32" s="512">
        <v>4297.02409741</v>
      </c>
      <c r="F32" s="512">
        <v>864.120568425</v>
      </c>
      <c r="G32" s="512">
        <v>5293.912109997</v>
      </c>
      <c r="H32" s="512">
        <v>2970.55609646</v>
      </c>
      <c r="I32" s="551">
        <v>12020.916354718</v>
      </c>
      <c r="J32" s="552">
        <v>1543.34606967</v>
      </c>
      <c r="K32" s="553"/>
      <c r="L32" s="519"/>
      <c r="M32" s="7" t="s">
        <v>294</v>
      </c>
      <c r="N32" s="512">
        <v>880.08685</v>
      </c>
      <c r="O32" s="512">
        <v>191.963186</v>
      </c>
      <c r="P32" s="512">
        <v>96.977973</v>
      </c>
      <c r="Q32" s="512">
        <v>69.475105</v>
      </c>
      <c r="R32" s="586">
        <v>156.028622</v>
      </c>
      <c r="S32" s="587">
        <v>2.497275</v>
      </c>
    </row>
    <row r="33" spans="3:19">
      <c r="C33" s="511"/>
      <c r="D33" s="7" t="s">
        <v>255</v>
      </c>
      <c r="E33" s="512">
        <v>134827.21247776</v>
      </c>
      <c r="F33" s="512">
        <v>46338.81707995</v>
      </c>
      <c r="G33" s="512">
        <v>49645.81881523</v>
      </c>
      <c r="H33" s="512">
        <v>7049.317537055</v>
      </c>
      <c r="I33" s="551">
        <v>76766.4449955</v>
      </c>
      <c r="J33" s="552">
        <v>250.230239</v>
      </c>
      <c r="K33" s="553"/>
      <c r="L33" s="519"/>
      <c r="M33" s="7" t="s">
        <v>255</v>
      </c>
      <c r="N33" s="512">
        <v>1542.011375</v>
      </c>
      <c r="O33" s="512">
        <v>10894.760166</v>
      </c>
      <c r="P33" s="512">
        <v>5664.018554</v>
      </c>
      <c r="Q33" s="512">
        <v>12750.425262</v>
      </c>
      <c r="R33" s="586">
        <v>130717.169774</v>
      </c>
      <c r="S33" s="587">
        <v>135.428569</v>
      </c>
    </row>
    <row r="34" spans="3:19">
      <c r="C34" s="511"/>
      <c r="D34" s="7" t="s">
        <v>285</v>
      </c>
      <c r="E34" s="512">
        <v>740.81990951</v>
      </c>
      <c r="F34" s="512">
        <v>861.049295456</v>
      </c>
      <c r="G34" s="512">
        <v>3306.641500706</v>
      </c>
      <c r="H34" s="512">
        <v>12490.37436847</v>
      </c>
      <c r="I34" s="551">
        <v>17876.32148389</v>
      </c>
      <c r="J34" s="552">
        <v>2365.35852072</v>
      </c>
      <c r="K34" s="553"/>
      <c r="L34" s="519"/>
      <c r="M34" s="7" t="s">
        <v>285</v>
      </c>
      <c r="N34" s="512">
        <v>1203.887271</v>
      </c>
      <c r="O34" s="512">
        <v>1179.523932</v>
      </c>
      <c r="P34" s="512">
        <v>722.922568</v>
      </c>
      <c r="Q34" s="512">
        <v>1372.168981</v>
      </c>
      <c r="R34" s="586">
        <v>572.543148</v>
      </c>
      <c r="S34" s="587">
        <v>18.01652</v>
      </c>
    </row>
    <row r="35" spans="3:19">
      <c r="C35" s="511"/>
      <c r="D35" s="7" t="s">
        <v>459</v>
      </c>
      <c r="E35" s="512">
        <v>27.81010462</v>
      </c>
      <c r="F35" s="512">
        <v>436.1282603</v>
      </c>
      <c r="G35" s="527">
        <v>0</v>
      </c>
      <c r="H35" s="527">
        <v>0</v>
      </c>
      <c r="I35" s="551">
        <v>0</v>
      </c>
      <c r="J35" s="552">
        <v>0</v>
      </c>
      <c r="K35" s="553"/>
      <c r="L35" s="521"/>
      <c r="M35" s="7" t="s">
        <v>459</v>
      </c>
      <c r="N35" s="512">
        <v>3.122856</v>
      </c>
      <c r="O35" s="512">
        <v>41.553301</v>
      </c>
      <c r="P35" s="527">
        <v>12.018805</v>
      </c>
      <c r="Q35" s="527">
        <v>13.160631</v>
      </c>
      <c r="R35" s="586">
        <v>32.514201</v>
      </c>
      <c r="S35" s="587">
        <v>103.061141</v>
      </c>
    </row>
    <row r="36" s="17" customFormat="1" ht="16.35" spans="3:19">
      <c r="C36" s="513"/>
      <c r="D36" s="514"/>
      <c r="E36" s="515"/>
      <c r="F36" s="515"/>
      <c r="G36" s="515"/>
      <c r="H36" s="515"/>
      <c r="I36" s="555"/>
      <c r="J36" s="556"/>
      <c r="K36" s="553"/>
      <c r="L36" s="557"/>
      <c r="M36" s="558"/>
      <c r="N36" s="540"/>
      <c r="O36" s="540"/>
      <c r="P36" s="540"/>
      <c r="Q36" s="540"/>
      <c r="R36" s="588"/>
      <c r="S36" s="589"/>
    </row>
    <row r="37" s="1" customFormat="1" ht="16.35" spans="3:19">
      <c r="C37" s="516" t="s">
        <v>460</v>
      </c>
      <c r="D37" s="410" t="s">
        <v>461</v>
      </c>
      <c r="E37" s="528">
        <v>0</v>
      </c>
      <c r="F37" s="528">
        <v>0</v>
      </c>
      <c r="G37" s="528">
        <v>0</v>
      </c>
      <c r="H37" s="518">
        <v>409.0571928</v>
      </c>
      <c r="I37" s="551">
        <v>164.73651318</v>
      </c>
      <c r="J37" s="552">
        <v>0</v>
      </c>
      <c r="K37" s="553"/>
      <c r="L37" s="560" t="s">
        <v>460</v>
      </c>
      <c r="M37" s="565" t="s">
        <v>461</v>
      </c>
      <c r="N37" s="566">
        <v>0.56473</v>
      </c>
      <c r="O37" s="566">
        <v>0.168767</v>
      </c>
      <c r="P37" s="566">
        <v>0.715302</v>
      </c>
      <c r="Q37" s="566">
        <v>0.152109</v>
      </c>
      <c r="R37" s="586">
        <v>3.527724</v>
      </c>
      <c r="S37" s="587">
        <v>0</v>
      </c>
    </row>
    <row r="38" spans="3:19">
      <c r="C38" s="519"/>
      <c r="D38" s="508" t="s">
        <v>462</v>
      </c>
      <c r="E38" s="526">
        <v>0</v>
      </c>
      <c r="F38" s="526">
        <v>0</v>
      </c>
      <c r="G38" s="526">
        <v>0</v>
      </c>
      <c r="H38" s="526">
        <v>0</v>
      </c>
      <c r="I38" s="551">
        <v>0</v>
      </c>
      <c r="J38" s="552">
        <v>0</v>
      </c>
      <c r="K38" s="553"/>
      <c r="L38" s="519"/>
      <c r="M38" s="567" t="s">
        <v>462</v>
      </c>
      <c r="N38" s="526">
        <v>31.130712</v>
      </c>
      <c r="O38" s="526">
        <v>0</v>
      </c>
      <c r="P38" s="526">
        <v>351.494665</v>
      </c>
      <c r="Q38" s="526">
        <v>35.107496</v>
      </c>
      <c r="R38" s="586">
        <v>331.909623</v>
      </c>
      <c r="S38" s="587">
        <v>67.903592</v>
      </c>
    </row>
    <row r="39" spans="3:19">
      <c r="C39" s="519"/>
      <c r="D39" s="508" t="s">
        <v>463</v>
      </c>
      <c r="E39" s="526">
        <v>0</v>
      </c>
      <c r="F39" s="526">
        <v>83.42208</v>
      </c>
      <c r="G39" s="529">
        <v>0</v>
      </c>
      <c r="H39" s="526">
        <v>0</v>
      </c>
      <c r="I39" s="551">
        <v>965.72407579</v>
      </c>
      <c r="J39" s="552">
        <v>0</v>
      </c>
      <c r="K39" s="553"/>
      <c r="L39" s="519"/>
      <c r="M39" s="508" t="s">
        <v>463</v>
      </c>
      <c r="N39" s="526">
        <v>2.550482</v>
      </c>
      <c r="O39" s="526">
        <v>1.003199</v>
      </c>
      <c r="P39" s="529">
        <v>0.478454</v>
      </c>
      <c r="Q39" s="526">
        <v>52.143655</v>
      </c>
      <c r="R39" s="590">
        <v>54.178947</v>
      </c>
      <c r="S39" s="587">
        <v>2583.267706</v>
      </c>
    </row>
    <row r="40" spans="3:19">
      <c r="C40" s="519"/>
      <c r="D40" s="508" t="s">
        <v>464</v>
      </c>
      <c r="E40" s="526">
        <v>0</v>
      </c>
      <c r="F40" s="526">
        <v>0</v>
      </c>
      <c r="G40" s="529">
        <v>0</v>
      </c>
      <c r="H40" s="526">
        <v>0</v>
      </c>
      <c r="I40" s="551">
        <v>0</v>
      </c>
      <c r="J40" s="552">
        <v>0</v>
      </c>
      <c r="K40" s="553"/>
      <c r="L40" s="519"/>
      <c r="M40" s="508" t="s">
        <v>464</v>
      </c>
      <c r="N40" s="526">
        <v>0</v>
      </c>
      <c r="O40" s="526">
        <v>0</v>
      </c>
      <c r="P40" s="529">
        <v>3.625795</v>
      </c>
      <c r="Q40" s="526">
        <v>16.497685</v>
      </c>
      <c r="R40" s="590">
        <v>34.075598</v>
      </c>
      <c r="S40" s="587">
        <v>0</v>
      </c>
    </row>
    <row r="41" spans="3:19">
      <c r="C41" s="519"/>
      <c r="D41" s="7" t="s">
        <v>465</v>
      </c>
      <c r="E41" s="512">
        <v>392.010312</v>
      </c>
      <c r="F41" s="512">
        <v>2.992755</v>
      </c>
      <c r="G41" s="529">
        <v>0</v>
      </c>
      <c r="H41" s="512">
        <v>13306.0651336</v>
      </c>
      <c r="I41" s="551">
        <v>0</v>
      </c>
      <c r="J41" s="552">
        <v>0</v>
      </c>
      <c r="K41" s="553"/>
      <c r="L41" s="519"/>
      <c r="M41" s="7" t="s">
        <v>465</v>
      </c>
      <c r="N41" s="512">
        <v>4732.524704</v>
      </c>
      <c r="O41" s="512">
        <v>3748.98371</v>
      </c>
      <c r="P41" s="527">
        <v>14694.39864</v>
      </c>
      <c r="Q41" s="512">
        <v>15326.940905</v>
      </c>
      <c r="R41" s="586">
        <v>19633.563111</v>
      </c>
      <c r="S41" s="587">
        <v>2853.488664</v>
      </c>
    </row>
    <row r="42" spans="3:19">
      <c r="C42" s="519"/>
      <c r="D42" s="7" t="s">
        <v>231</v>
      </c>
      <c r="E42" s="512">
        <v>133.86173545</v>
      </c>
      <c r="F42" s="512">
        <v>574.47613707</v>
      </c>
      <c r="G42" s="527">
        <v>489.09152558</v>
      </c>
      <c r="H42" s="512">
        <v>186.39709963</v>
      </c>
      <c r="I42" s="551">
        <v>744.683787435</v>
      </c>
      <c r="J42" s="552">
        <v>233.954482955</v>
      </c>
      <c r="K42" s="553"/>
      <c r="L42" s="519"/>
      <c r="M42" s="7" t="s">
        <v>231</v>
      </c>
      <c r="N42" s="512">
        <v>10320.704987</v>
      </c>
      <c r="O42" s="512">
        <v>15859.025112</v>
      </c>
      <c r="P42" s="527">
        <v>51835.582041</v>
      </c>
      <c r="Q42" s="512">
        <v>33982.486277</v>
      </c>
      <c r="R42" s="586">
        <v>73561.182307</v>
      </c>
      <c r="S42" s="587">
        <v>26144.930837</v>
      </c>
    </row>
    <row r="43" spans="3:19">
      <c r="C43" s="519"/>
      <c r="D43" s="7" t="s">
        <v>466</v>
      </c>
      <c r="E43" s="512">
        <v>0</v>
      </c>
      <c r="F43" s="512">
        <v>0</v>
      </c>
      <c r="G43" s="527">
        <v>0</v>
      </c>
      <c r="H43" s="512">
        <v>22.5749328</v>
      </c>
      <c r="I43" s="551">
        <v>69.327048</v>
      </c>
      <c r="J43" s="552">
        <v>0</v>
      </c>
      <c r="K43" s="553"/>
      <c r="L43" s="519"/>
      <c r="M43" s="7" t="s">
        <v>466</v>
      </c>
      <c r="N43" s="512">
        <v>2716.494361</v>
      </c>
      <c r="O43" s="512">
        <v>7130.187874</v>
      </c>
      <c r="P43" s="527">
        <v>11346.920919</v>
      </c>
      <c r="Q43" s="512">
        <v>11397.206635</v>
      </c>
      <c r="R43" s="586">
        <v>17717.080709</v>
      </c>
      <c r="S43" s="587">
        <v>6243.412794</v>
      </c>
    </row>
    <row r="44" spans="3:19">
      <c r="C44" s="519"/>
      <c r="D44" s="7" t="s">
        <v>467</v>
      </c>
      <c r="E44" s="512">
        <v>0</v>
      </c>
      <c r="F44" s="512">
        <v>0</v>
      </c>
      <c r="G44" s="527">
        <v>0</v>
      </c>
      <c r="H44" s="512">
        <v>224.631048645</v>
      </c>
      <c r="I44" s="551">
        <v>2058.399132274</v>
      </c>
      <c r="J44" s="552">
        <v>0</v>
      </c>
      <c r="K44" s="553"/>
      <c r="L44" s="519"/>
      <c r="M44" s="7" t="s">
        <v>467</v>
      </c>
      <c r="N44" s="512">
        <v>330.227415</v>
      </c>
      <c r="O44" s="512">
        <v>200.814504</v>
      </c>
      <c r="P44" s="527">
        <v>403.724245</v>
      </c>
      <c r="Q44" s="512">
        <v>1432.391086</v>
      </c>
      <c r="R44" s="586">
        <v>1246.527196</v>
      </c>
      <c r="S44" s="587">
        <v>778.126704</v>
      </c>
    </row>
    <row r="45" spans="3:19">
      <c r="C45" s="519"/>
      <c r="D45" s="7" t="s">
        <v>468</v>
      </c>
      <c r="E45" s="512">
        <v>0</v>
      </c>
      <c r="F45" s="512">
        <v>246.852978468</v>
      </c>
      <c r="G45" s="527">
        <v>6389.72014659</v>
      </c>
      <c r="H45" s="512">
        <v>1175.0227145</v>
      </c>
      <c r="I45" s="551">
        <v>45.08395005</v>
      </c>
      <c r="J45" s="552">
        <v>0</v>
      </c>
      <c r="K45" s="553"/>
      <c r="L45" s="519"/>
      <c r="M45" s="7" t="s">
        <v>468</v>
      </c>
      <c r="N45" s="512">
        <v>406.442944</v>
      </c>
      <c r="O45" s="512">
        <v>4659.840131</v>
      </c>
      <c r="P45" s="527">
        <v>13979.075735</v>
      </c>
      <c r="Q45" s="512">
        <v>4925.11782</v>
      </c>
      <c r="R45" s="586">
        <v>3172.168547</v>
      </c>
      <c r="S45" s="587">
        <v>369.579117</v>
      </c>
    </row>
    <row r="46" spans="3:19">
      <c r="C46" s="519"/>
      <c r="D46" s="7" t="s">
        <v>469</v>
      </c>
      <c r="E46" s="512">
        <v>0</v>
      </c>
      <c r="F46" s="512">
        <v>0</v>
      </c>
      <c r="G46" s="527">
        <v>0</v>
      </c>
      <c r="H46" s="512">
        <v>0</v>
      </c>
      <c r="I46" s="551">
        <v>0</v>
      </c>
      <c r="J46" s="552">
        <v>0</v>
      </c>
      <c r="K46" s="553"/>
      <c r="L46" s="519"/>
      <c r="M46" s="7" t="s">
        <v>469</v>
      </c>
      <c r="N46" s="512">
        <v>1527.957544</v>
      </c>
      <c r="O46" s="512">
        <v>361.307707</v>
      </c>
      <c r="P46" s="527">
        <v>481.420424</v>
      </c>
      <c r="Q46" s="512">
        <v>411.218088</v>
      </c>
      <c r="R46" s="586">
        <v>92.621463</v>
      </c>
      <c r="S46" s="587">
        <v>0</v>
      </c>
    </row>
    <row r="47" spans="3:19">
      <c r="C47" s="519"/>
      <c r="D47" s="7" t="s">
        <v>470</v>
      </c>
      <c r="E47" s="512">
        <v>0</v>
      </c>
      <c r="F47" s="512">
        <v>59.786628</v>
      </c>
      <c r="G47" s="527">
        <v>6.824075825</v>
      </c>
      <c r="H47" s="512">
        <v>7.03743</v>
      </c>
      <c r="I47" s="551">
        <v>0</v>
      </c>
      <c r="J47" s="552">
        <v>0</v>
      </c>
      <c r="K47" s="553"/>
      <c r="L47" s="519"/>
      <c r="M47" s="7" t="s">
        <v>470</v>
      </c>
      <c r="N47" s="512">
        <v>5.776463</v>
      </c>
      <c r="O47" s="512">
        <v>10.704826</v>
      </c>
      <c r="P47" s="527">
        <v>100.940218</v>
      </c>
      <c r="Q47" s="512">
        <v>276.932891</v>
      </c>
      <c r="R47" s="586">
        <v>71.722603</v>
      </c>
      <c r="S47" s="587">
        <v>10.25884</v>
      </c>
    </row>
    <row r="48" spans="3:19">
      <c r="C48" s="519"/>
      <c r="D48" s="7" t="s">
        <v>471</v>
      </c>
      <c r="E48" s="512">
        <v>0</v>
      </c>
      <c r="F48" s="512">
        <v>0</v>
      </c>
      <c r="G48" s="527">
        <v>0</v>
      </c>
      <c r="H48" s="512">
        <v>0</v>
      </c>
      <c r="I48" s="551">
        <v>0</v>
      </c>
      <c r="J48" s="552">
        <v>0</v>
      </c>
      <c r="K48" s="553"/>
      <c r="L48" s="519"/>
      <c r="M48" s="7" t="s">
        <v>471</v>
      </c>
      <c r="N48" s="512">
        <v>645.471658</v>
      </c>
      <c r="O48" s="512">
        <v>252.89349</v>
      </c>
      <c r="P48" s="527">
        <v>1874.800817</v>
      </c>
      <c r="Q48" s="512">
        <v>1716.30989</v>
      </c>
      <c r="R48" s="586">
        <v>400.908616</v>
      </c>
      <c r="S48" s="587">
        <v>0</v>
      </c>
    </row>
    <row r="49" spans="3:19">
      <c r="C49" s="519"/>
      <c r="D49" s="7" t="s">
        <v>472</v>
      </c>
      <c r="E49" s="512">
        <v>0</v>
      </c>
      <c r="F49" s="512">
        <v>16.202429034</v>
      </c>
      <c r="G49" s="527">
        <v>0</v>
      </c>
      <c r="H49" s="512">
        <v>451.47341722</v>
      </c>
      <c r="I49" s="551">
        <v>0</v>
      </c>
      <c r="J49" s="552">
        <v>0</v>
      </c>
      <c r="K49" s="553"/>
      <c r="L49" s="519"/>
      <c r="M49" s="7" t="s">
        <v>472</v>
      </c>
      <c r="N49" s="512">
        <v>91.362473</v>
      </c>
      <c r="O49" s="512">
        <v>51.381051</v>
      </c>
      <c r="P49" s="527">
        <v>123.493952</v>
      </c>
      <c r="Q49" s="512">
        <v>0</v>
      </c>
      <c r="R49" s="586">
        <v>157.619382</v>
      </c>
      <c r="S49" s="587">
        <v>0</v>
      </c>
    </row>
    <row r="50" spans="3:19">
      <c r="C50" s="519"/>
      <c r="D50" s="7" t="s">
        <v>473</v>
      </c>
      <c r="E50" s="512">
        <v>119.98450169</v>
      </c>
      <c r="F50" s="512">
        <v>303.53005497</v>
      </c>
      <c r="G50" s="527">
        <v>0</v>
      </c>
      <c r="H50" s="512">
        <v>0</v>
      </c>
      <c r="I50" s="551">
        <v>118.83412638</v>
      </c>
      <c r="J50" s="552">
        <v>0</v>
      </c>
      <c r="K50" s="553"/>
      <c r="L50" s="519"/>
      <c r="M50" s="7" t="s">
        <v>473</v>
      </c>
      <c r="N50" s="512">
        <v>0</v>
      </c>
      <c r="O50" s="512">
        <v>0</v>
      </c>
      <c r="P50" s="512">
        <v>0</v>
      </c>
      <c r="Q50" s="512">
        <v>0</v>
      </c>
      <c r="R50" s="586">
        <v>0</v>
      </c>
      <c r="S50" s="587">
        <v>0</v>
      </c>
    </row>
    <row r="51" spans="3:19">
      <c r="C51" s="519"/>
      <c r="D51" s="7" t="s">
        <v>219</v>
      </c>
      <c r="E51" s="512">
        <v>301.23395324</v>
      </c>
      <c r="F51" s="512">
        <v>279.788077153</v>
      </c>
      <c r="G51" s="527">
        <v>419.188965394</v>
      </c>
      <c r="H51" s="512">
        <v>1326.94865631</v>
      </c>
      <c r="I51" s="551">
        <v>1303.04689755</v>
      </c>
      <c r="J51" s="552">
        <v>288.36363153</v>
      </c>
      <c r="K51" s="553"/>
      <c r="L51" s="519"/>
      <c r="M51" s="7" t="s">
        <v>219</v>
      </c>
      <c r="N51" s="512">
        <v>8362.52667</v>
      </c>
      <c r="O51" s="512">
        <v>10885.37849</v>
      </c>
      <c r="P51" s="527">
        <v>16291.584436</v>
      </c>
      <c r="Q51" s="512">
        <v>30430.421758</v>
      </c>
      <c r="R51" s="586">
        <v>53705.079451</v>
      </c>
      <c r="S51" s="587">
        <v>68427.136996</v>
      </c>
    </row>
    <row r="52" spans="3:19">
      <c r="C52" s="521"/>
      <c r="D52" s="7" t="s">
        <v>474</v>
      </c>
      <c r="E52" s="512">
        <v>45.01805256</v>
      </c>
      <c r="F52" s="512">
        <v>30.3021938</v>
      </c>
      <c r="G52" s="527">
        <v>199.0796251</v>
      </c>
      <c r="H52" s="512">
        <v>311.95999199</v>
      </c>
      <c r="I52" s="551">
        <v>264.68498817</v>
      </c>
      <c r="J52" s="552">
        <v>33.60696021</v>
      </c>
      <c r="K52" s="553"/>
      <c r="L52" s="521"/>
      <c r="M52" s="7" t="s">
        <v>474</v>
      </c>
      <c r="N52" s="512">
        <v>1872.580875</v>
      </c>
      <c r="O52" s="512">
        <v>418.618835</v>
      </c>
      <c r="P52" s="527">
        <v>2000.71477</v>
      </c>
      <c r="Q52" s="512">
        <v>10353.282315</v>
      </c>
      <c r="R52" s="586">
        <v>24962.490231</v>
      </c>
      <c r="S52" s="587">
        <v>6910.234609</v>
      </c>
    </row>
    <row r="53" spans="3:19">
      <c r="C53" s="519"/>
      <c r="D53" s="7" t="s">
        <v>475</v>
      </c>
      <c r="E53" s="530">
        <v>0</v>
      </c>
      <c r="F53" s="530">
        <v>0</v>
      </c>
      <c r="G53" s="531">
        <v>6.75752</v>
      </c>
      <c r="H53" s="530">
        <v>1.603674</v>
      </c>
      <c r="I53" s="551">
        <v>0</v>
      </c>
      <c r="J53" s="552">
        <v>0</v>
      </c>
      <c r="K53" s="553"/>
      <c r="L53" s="568"/>
      <c r="M53" s="569" t="s">
        <v>475</v>
      </c>
      <c r="N53" s="530">
        <v>591.823426</v>
      </c>
      <c r="O53" s="530">
        <v>1449.999399</v>
      </c>
      <c r="P53" s="531">
        <v>2960.486964</v>
      </c>
      <c r="Q53" s="530">
        <v>3645.183904</v>
      </c>
      <c r="R53" s="591">
        <v>8245.172631</v>
      </c>
      <c r="S53" s="587">
        <v>1295.700868</v>
      </c>
    </row>
    <row r="54" s="17" customFormat="1" ht="16.35" spans="3:19">
      <c r="C54" s="522"/>
      <c r="D54" s="523"/>
      <c r="E54" s="532"/>
      <c r="F54" s="532"/>
      <c r="G54" s="533"/>
      <c r="H54" s="533"/>
      <c r="I54" s="562"/>
      <c r="J54" s="563"/>
      <c r="K54" s="570"/>
      <c r="L54" s="571"/>
      <c r="M54" s="572"/>
      <c r="N54" s="573"/>
      <c r="O54" s="573"/>
      <c r="P54" s="573"/>
      <c r="Q54" s="573"/>
      <c r="R54" s="592"/>
      <c r="S54" s="593"/>
    </row>
    <row r="55" spans="3:19">
      <c r="C55" s="525" t="s">
        <v>476</v>
      </c>
      <c r="D55" s="534" t="s">
        <v>477</v>
      </c>
      <c r="E55" s="535">
        <v>0</v>
      </c>
      <c r="F55" s="535">
        <v>0</v>
      </c>
      <c r="G55" s="536">
        <v>0</v>
      </c>
      <c r="H55" s="535">
        <v>0</v>
      </c>
      <c r="I55" s="551">
        <v>0</v>
      </c>
      <c r="J55" s="552">
        <v>0</v>
      </c>
      <c r="K55" s="553"/>
      <c r="L55" s="516" t="s">
        <v>476</v>
      </c>
      <c r="M55" s="534" t="s">
        <v>477</v>
      </c>
      <c r="N55" s="518">
        <v>85.594044</v>
      </c>
      <c r="O55" s="518">
        <v>105.891419</v>
      </c>
      <c r="P55" s="574">
        <v>174.524416</v>
      </c>
      <c r="Q55" s="518">
        <v>15.306422</v>
      </c>
      <c r="R55" s="594">
        <v>482.584721</v>
      </c>
      <c r="S55" s="587">
        <v>1750.753669</v>
      </c>
    </row>
    <row r="56" spans="3:19">
      <c r="C56" s="511"/>
      <c r="D56" s="537" t="s">
        <v>478</v>
      </c>
      <c r="E56" s="512">
        <v>0</v>
      </c>
      <c r="F56" s="512">
        <v>0</v>
      </c>
      <c r="G56" s="527">
        <v>0</v>
      </c>
      <c r="H56" s="512">
        <v>0</v>
      </c>
      <c r="I56" s="551">
        <v>0</v>
      </c>
      <c r="J56" s="552">
        <v>0</v>
      </c>
      <c r="K56" s="553"/>
      <c r="L56" s="519"/>
      <c r="M56" s="537" t="s">
        <v>478</v>
      </c>
      <c r="N56" s="512">
        <v>5.645196</v>
      </c>
      <c r="O56" s="512">
        <v>0.101618</v>
      </c>
      <c r="P56" s="527">
        <v>1.7644</v>
      </c>
      <c r="Q56" s="512">
        <v>3.797801</v>
      </c>
      <c r="R56" s="595">
        <v>30.347561</v>
      </c>
      <c r="S56" s="587">
        <v>0</v>
      </c>
    </row>
    <row r="57" spans="3:19">
      <c r="C57" s="511"/>
      <c r="D57" s="537" t="s">
        <v>479</v>
      </c>
      <c r="E57" s="526">
        <v>0</v>
      </c>
      <c r="F57" s="526">
        <v>0</v>
      </c>
      <c r="G57" s="529">
        <v>0</v>
      </c>
      <c r="H57" s="526">
        <v>0</v>
      </c>
      <c r="I57" s="551">
        <v>0</v>
      </c>
      <c r="J57" s="552">
        <v>0</v>
      </c>
      <c r="K57" s="553"/>
      <c r="L57" s="519"/>
      <c r="M57" s="537" t="s">
        <v>479</v>
      </c>
      <c r="N57" s="512">
        <v>21.720514</v>
      </c>
      <c r="O57" s="512">
        <v>6.21289</v>
      </c>
      <c r="P57" s="527">
        <v>574.274383</v>
      </c>
      <c r="Q57" s="512">
        <v>55.758775</v>
      </c>
      <c r="R57" s="595">
        <v>1743.093244</v>
      </c>
      <c r="S57" s="587">
        <v>138.078339</v>
      </c>
    </row>
    <row r="58" spans="3:19">
      <c r="C58" s="511"/>
      <c r="D58" s="537" t="s">
        <v>284</v>
      </c>
      <c r="E58" s="512">
        <v>3098.600382</v>
      </c>
      <c r="F58" s="512">
        <v>266152.491768</v>
      </c>
      <c r="G58" s="527">
        <v>182886.0816025</v>
      </c>
      <c r="H58" s="512">
        <v>968.074238</v>
      </c>
      <c r="I58" s="551">
        <v>91916.29272745</v>
      </c>
      <c r="J58" s="552">
        <v>79.976306</v>
      </c>
      <c r="K58" s="553"/>
      <c r="L58" s="519"/>
      <c r="M58" s="537" t="s">
        <v>284</v>
      </c>
      <c r="N58" s="512">
        <v>8804.538968</v>
      </c>
      <c r="O58" s="512">
        <v>10885.204691</v>
      </c>
      <c r="P58" s="527">
        <v>16557.53665</v>
      </c>
      <c r="Q58" s="512">
        <v>18455.892778</v>
      </c>
      <c r="R58" s="595">
        <v>40995.989556</v>
      </c>
      <c r="S58" s="587">
        <v>7475.075103</v>
      </c>
    </row>
    <row r="59" spans="3:19">
      <c r="C59" s="511"/>
      <c r="D59" s="537" t="s">
        <v>191</v>
      </c>
      <c r="E59" s="512">
        <v>952244.438983579</v>
      </c>
      <c r="F59" s="512">
        <v>623855.328974081</v>
      </c>
      <c r="G59" s="527">
        <v>594835.453820416</v>
      </c>
      <c r="H59" s="512">
        <v>1298262.34095013</v>
      </c>
      <c r="I59" s="551">
        <v>2829968.68181269</v>
      </c>
      <c r="J59" s="552">
        <v>708686.70061006</v>
      </c>
      <c r="K59" s="553"/>
      <c r="L59" s="519"/>
      <c r="M59" s="537" t="s">
        <v>191</v>
      </c>
      <c r="N59" s="512">
        <v>132462.814834</v>
      </c>
      <c r="O59" s="512">
        <v>212248.760258</v>
      </c>
      <c r="P59" s="527">
        <v>237244.86312</v>
      </c>
      <c r="Q59" s="512">
        <v>291004.442147</v>
      </c>
      <c r="R59" s="595">
        <v>568588.88457008</v>
      </c>
      <c r="S59" s="587">
        <v>125379.478</v>
      </c>
    </row>
    <row r="60" spans="3:19">
      <c r="C60" s="511"/>
      <c r="D60" s="537" t="s">
        <v>227</v>
      </c>
      <c r="E60" s="512">
        <v>0</v>
      </c>
      <c r="F60" s="512">
        <v>0</v>
      </c>
      <c r="G60" s="527">
        <v>0</v>
      </c>
      <c r="H60" s="512">
        <v>0</v>
      </c>
      <c r="I60" s="551">
        <v>15781.27706896</v>
      </c>
      <c r="J60" s="552">
        <v>9465.96982176</v>
      </c>
      <c r="K60" s="553"/>
      <c r="L60" s="519"/>
      <c r="M60" s="537" t="s">
        <v>227</v>
      </c>
      <c r="N60" s="512">
        <v>45492.31631</v>
      </c>
      <c r="O60" s="512">
        <v>34962.692689</v>
      </c>
      <c r="P60" s="527">
        <v>29092.267785</v>
      </c>
      <c r="Q60" s="512">
        <v>48126.87658</v>
      </c>
      <c r="R60" s="595">
        <v>126784.185054</v>
      </c>
      <c r="S60" s="587">
        <v>34387.473761</v>
      </c>
    </row>
    <row r="61" spans="3:19">
      <c r="C61" s="511"/>
      <c r="D61" s="537" t="s">
        <v>480</v>
      </c>
      <c r="E61" s="512">
        <v>0</v>
      </c>
      <c r="F61" s="512">
        <v>0</v>
      </c>
      <c r="G61" s="527">
        <v>0</v>
      </c>
      <c r="H61" s="512">
        <v>0</v>
      </c>
      <c r="I61" s="551">
        <v>0</v>
      </c>
      <c r="J61" s="552">
        <v>0</v>
      </c>
      <c r="K61" s="553"/>
      <c r="L61" s="519"/>
      <c r="M61" s="537" t="s">
        <v>480</v>
      </c>
      <c r="N61" s="512">
        <v>129.920205</v>
      </c>
      <c r="O61" s="512">
        <v>295.018108</v>
      </c>
      <c r="P61" s="527">
        <v>1032.866665</v>
      </c>
      <c r="Q61" s="512">
        <v>505.495645</v>
      </c>
      <c r="R61" s="595">
        <v>1422.737719</v>
      </c>
      <c r="S61" s="587">
        <v>33.501952</v>
      </c>
    </row>
    <row r="62" ht="16.35" spans="3:19">
      <c r="C62" s="538"/>
      <c r="D62" s="539"/>
      <c r="E62" s="540">
        <v>2374864.30470054</v>
      </c>
      <c r="F62" s="540">
        <v>2413388.74710437</v>
      </c>
      <c r="G62" s="540">
        <v>2658242.65148565</v>
      </c>
      <c r="H62" s="540">
        <v>3713478.0559565</v>
      </c>
      <c r="I62" s="575">
        <v>8740127.89907669</v>
      </c>
      <c r="J62" s="575">
        <v>1854484.7638819</v>
      </c>
      <c r="K62" s="576"/>
      <c r="L62" s="577"/>
      <c r="M62" s="578"/>
      <c r="N62" s="579">
        <v>406880.940235</v>
      </c>
      <c r="O62" s="579">
        <v>551305.719374</v>
      </c>
      <c r="P62" s="579">
        <v>738212.5019</v>
      </c>
      <c r="Q62" s="579">
        <v>896054.054417361</v>
      </c>
      <c r="R62" s="596">
        <v>2155716.05582212</v>
      </c>
      <c r="S62" s="596">
        <v>1001705.07115935</v>
      </c>
    </row>
    <row r="63" s="17" customFormat="1" ht="16.35" spans="5:19">
      <c r="E63" s="52"/>
      <c r="F63"/>
      <c r="G63"/>
      <c r="H63"/>
      <c r="I63" s="580"/>
      <c r="J63"/>
      <c r="K63"/>
      <c r="M63" s="16"/>
      <c r="N63" s="52"/>
      <c r="O63" s="52"/>
      <c r="P63" s="52"/>
      <c r="Q63" s="52"/>
      <c r="R63" s="89"/>
      <c r="S63" s="129"/>
    </row>
    <row r="64" spans="5:19">
      <c r="E64" s="89"/>
      <c r="F64" s="89"/>
      <c r="G64" s="89"/>
      <c r="H64" s="89"/>
      <c r="I64" s="89"/>
      <c r="J64" s="89"/>
      <c r="M64" s="581"/>
      <c r="N64" s="53"/>
      <c r="O64" s="53"/>
      <c r="P64" s="53"/>
      <c r="Q64" s="53"/>
      <c r="R64" s="53"/>
      <c r="S64" s="53"/>
    </row>
    <row r="65" spans="4:19">
      <c r="D65" s="17" t="s">
        <v>481</v>
      </c>
      <c r="E65" s="89"/>
      <c r="F65" s="89"/>
      <c r="G65" s="89"/>
      <c r="H65" s="89"/>
      <c r="I65" s="580"/>
      <c r="J65" s="89"/>
      <c r="K65" s="89"/>
      <c r="L65" s="89"/>
      <c r="M65" s="89"/>
      <c r="N65" s="89"/>
      <c r="O65" s="89"/>
      <c r="P65" s="89"/>
      <c r="Q65" s="89"/>
      <c r="R65" s="89"/>
      <c r="S65" s="89"/>
    </row>
    <row r="66" spans="5:19">
      <c r="E66" s="89"/>
      <c r="F66" s="89"/>
      <c r="G66" s="89"/>
      <c r="H66" s="89"/>
      <c r="I66" s="597"/>
      <c r="J66" s="89"/>
      <c r="K66" s="89"/>
      <c r="L66" s="89"/>
      <c r="M66" s="89"/>
      <c r="N66" s="89"/>
      <c r="O66" s="89"/>
      <c r="P66" s="89"/>
      <c r="Q66" s="89"/>
      <c r="R66" s="89"/>
      <c r="S66" s="89"/>
    </row>
    <row r="67" spans="5:5">
      <c r="E67" s="89"/>
    </row>
    <row r="68" spans="5:5">
      <c r="E68" s="89"/>
    </row>
    <row r="69" spans="5:9">
      <c r="E69" s="89"/>
      <c r="I69" s="89"/>
    </row>
    <row r="70" spans="9:9">
      <c r="I70" s="89"/>
    </row>
  </sheetData>
  <mergeCells count="3">
    <mergeCell ref="C2:S2"/>
    <mergeCell ref="C3:J3"/>
    <mergeCell ref="L3:S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23"/>
  <sheetViews>
    <sheetView zoomScale="80" zoomScaleNormal="80" topLeftCell="E1" workbookViewId="0">
      <selection activeCell="I13" sqref="I13"/>
    </sheetView>
  </sheetViews>
  <sheetFormatPr defaultColWidth="9" defaultRowHeight="15.6"/>
  <cols>
    <col min="2" max="2" width="9.17592592592593" style="176"/>
    <col min="3" max="3" width="19.4537037037037" style="176" customWidth="1"/>
    <col min="4" max="4" width="12.3611111111111" style="96" customWidth="1"/>
    <col min="5" max="5" width="87.1759259259259" style="96" customWidth="1"/>
    <col min="6" max="6" width="17.4537037037037" style="358" customWidth="1"/>
    <col min="7" max="7" width="12.2685185185185" style="358" customWidth="1"/>
    <col min="8" max="8" width="8.4537037037037" style="359" customWidth="1"/>
    <col min="9" max="9" width="19.4537037037037" style="96" customWidth="1"/>
    <col min="10" max="10" width="12.3611111111111" style="360" customWidth="1"/>
    <col min="11" max="11" width="70.3611111111111" customWidth="1"/>
    <col min="12" max="12" width="25.4537037037037" customWidth="1"/>
    <col min="14" max="14" width="20.7222222222222" customWidth="1"/>
  </cols>
  <sheetData>
    <row r="2" ht="17.5" customHeight="1" spans="2:12">
      <c r="B2" s="361" t="s">
        <v>482</v>
      </c>
      <c r="C2" s="362"/>
      <c r="D2" s="362"/>
      <c r="E2" s="362"/>
      <c r="F2" s="362"/>
      <c r="G2" s="362"/>
      <c r="H2" s="362"/>
      <c r="I2" s="362"/>
      <c r="J2" s="362"/>
      <c r="K2" s="362"/>
      <c r="L2" s="425"/>
    </row>
    <row r="3" ht="16.5" customHeight="1" spans="2:12">
      <c r="B3" s="363"/>
      <c r="C3" s="364"/>
      <c r="D3" s="364"/>
      <c r="E3" s="364"/>
      <c r="F3" s="364"/>
      <c r="G3" s="364"/>
      <c r="H3" s="364"/>
      <c r="I3" s="364"/>
      <c r="J3" s="364"/>
      <c r="K3" s="364"/>
      <c r="L3" s="426"/>
    </row>
    <row r="4" ht="18.9" spans="2:12">
      <c r="B4" s="365" t="s">
        <v>445</v>
      </c>
      <c r="C4" s="366"/>
      <c r="D4" s="366"/>
      <c r="E4" s="366"/>
      <c r="F4" s="367"/>
      <c r="G4" s="368"/>
      <c r="H4" s="369" t="s">
        <v>444</v>
      </c>
      <c r="I4" s="366"/>
      <c r="J4" s="366"/>
      <c r="K4" s="366"/>
      <c r="L4" s="427"/>
    </row>
    <row r="5" ht="32.7" spans="2:14">
      <c r="B5" s="370" t="s">
        <v>147</v>
      </c>
      <c r="C5" s="370" t="s">
        <v>153</v>
      </c>
      <c r="D5" s="371" t="s">
        <v>246</v>
      </c>
      <c r="E5" s="371" t="s">
        <v>483</v>
      </c>
      <c r="F5" s="954" t="s">
        <v>484</v>
      </c>
      <c r="G5" s="373"/>
      <c r="H5" s="374" t="s">
        <v>147</v>
      </c>
      <c r="I5" s="428" t="s">
        <v>148</v>
      </c>
      <c r="J5" s="371" t="s">
        <v>246</v>
      </c>
      <c r="K5" s="371" t="s">
        <v>483</v>
      </c>
      <c r="L5" s="955" t="s">
        <v>485</v>
      </c>
      <c r="N5" s="53"/>
    </row>
    <row r="6" spans="2:14">
      <c r="B6" s="375" t="s">
        <v>158</v>
      </c>
      <c r="C6" s="376" t="s">
        <v>486</v>
      </c>
      <c r="D6" s="377" t="s">
        <v>38</v>
      </c>
      <c r="E6" s="378" t="s">
        <v>39</v>
      </c>
      <c r="F6" s="379">
        <v>132812.669079</v>
      </c>
      <c r="G6" s="380"/>
      <c r="H6" s="381" t="s">
        <v>156</v>
      </c>
      <c r="I6" s="399" t="s">
        <v>487</v>
      </c>
      <c r="J6" s="430" t="s">
        <v>10</v>
      </c>
      <c r="K6" s="431" t="s">
        <v>11</v>
      </c>
      <c r="L6" s="432">
        <v>1408653.61051237</v>
      </c>
      <c r="N6" s="277"/>
    </row>
    <row r="7" spans="2:14">
      <c r="B7" s="382"/>
      <c r="C7" s="33"/>
      <c r="D7" s="383" t="s">
        <v>30</v>
      </c>
      <c r="E7" s="384" t="s">
        <v>31</v>
      </c>
      <c r="F7" s="385">
        <v>120150.393938</v>
      </c>
      <c r="G7" s="386"/>
      <c r="H7" s="387"/>
      <c r="I7" s="79"/>
      <c r="J7" s="433" t="s">
        <v>16</v>
      </c>
      <c r="K7" s="434" t="s">
        <v>17</v>
      </c>
      <c r="L7" s="435">
        <v>1022357.61916434</v>
      </c>
      <c r="N7" s="277"/>
    </row>
    <row r="8" spans="2:14">
      <c r="B8" s="382"/>
      <c r="C8" s="33"/>
      <c r="D8" s="383" t="s">
        <v>54</v>
      </c>
      <c r="E8" s="384" t="s">
        <v>488</v>
      </c>
      <c r="F8" s="385">
        <v>117115.241197</v>
      </c>
      <c r="G8" s="386"/>
      <c r="H8" s="387"/>
      <c r="I8" s="79"/>
      <c r="J8" s="433" t="s">
        <v>20</v>
      </c>
      <c r="K8" s="434" t="s">
        <v>21</v>
      </c>
      <c r="L8" s="435">
        <v>154338.85416441</v>
      </c>
      <c r="N8" s="277"/>
    </row>
    <row r="9" spans="2:14">
      <c r="B9" s="382"/>
      <c r="C9" s="33"/>
      <c r="D9" s="383" t="s">
        <v>50</v>
      </c>
      <c r="E9" s="384" t="s">
        <v>489</v>
      </c>
      <c r="F9" s="385">
        <v>114465.453843</v>
      </c>
      <c r="G9" s="386"/>
      <c r="H9" s="387"/>
      <c r="I9" s="79"/>
      <c r="J9" s="433" t="s">
        <v>14</v>
      </c>
      <c r="K9" s="434" t="s">
        <v>15</v>
      </c>
      <c r="L9" s="435">
        <v>151540.16476933</v>
      </c>
      <c r="N9" s="277"/>
    </row>
    <row r="10" ht="16.35" spans="2:14">
      <c r="B10" s="388"/>
      <c r="C10" s="389"/>
      <c r="D10" s="383" t="s">
        <v>46</v>
      </c>
      <c r="E10" s="384" t="s">
        <v>47</v>
      </c>
      <c r="F10" s="385">
        <v>100903.865379</v>
      </c>
      <c r="G10" s="386"/>
      <c r="H10" s="390"/>
      <c r="I10" s="436"/>
      <c r="J10" s="433" t="s">
        <v>40</v>
      </c>
      <c r="K10" s="437" t="s">
        <v>41</v>
      </c>
      <c r="L10" s="438">
        <v>87563.2204</v>
      </c>
      <c r="N10" s="277"/>
    </row>
    <row r="11" ht="16.35" spans="2:14">
      <c r="B11" s="391"/>
      <c r="C11" s="392"/>
      <c r="D11" s="393"/>
      <c r="E11" s="394"/>
      <c r="F11" s="395"/>
      <c r="G11" s="386"/>
      <c r="H11" s="396"/>
      <c r="I11" s="439"/>
      <c r="J11" s="440"/>
      <c r="K11" s="441"/>
      <c r="L11" s="442"/>
      <c r="N11" s="277"/>
    </row>
    <row r="12" spans="2:14">
      <c r="B12" s="397" t="s">
        <v>156</v>
      </c>
      <c r="C12" s="81" t="s">
        <v>487</v>
      </c>
      <c r="D12" s="383" t="s">
        <v>8</v>
      </c>
      <c r="E12" s="384" t="s">
        <v>9</v>
      </c>
      <c r="F12" s="398">
        <v>861599.10875815</v>
      </c>
      <c r="G12" s="386"/>
      <c r="H12" s="381" t="s">
        <v>161</v>
      </c>
      <c r="I12" s="399" t="s">
        <v>490</v>
      </c>
      <c r="J12" s="430" t="s">
        <v>10</v>
      </c>
      <c r="K12" s="431" t="s">
        <v>11</v>
      </c>
      <c r="L12" s="432">
        <v>1364328.07899342</v>
      </c>
      <c r="N12" s="277"/>
    </row>
    <row r="13" spans="2:14">
      <c r="B13" s="382"/>
      <c r="C13" s="33"/>
      <c r="D13" s="383" t="s">
        <v>26</v>
      </c>
      <c r="E13" s="384" t="s">
        <v>27</v>
      </c>
      <c r="F13" s="398">
        <v>146113.499222</v>
      </c>
      <c r="G13" s="386"/>
      <c r="H13" s="387"/>
      <c r="I13" s="79"/>
      <c r="J13" s="433" t="s">
        <v>24</v>
      </c>
      <c r="K13" s="434" t="s">
        <v>25</v>
      </c>
      <c r="L13" s="435">
        <v>344169.54029799</v>
      </c>
      <c r="N13" s="277"/>
    </row>
    <row r="14" spans="2:14">
      <c r="B14" s="382"/>
      <c r="C14" s="33"/>
      <c r="D14" s="383" t="s">
        <v>62</v>
      </c>
      <c r="E14" s="384" t="s">
        <v>63</v>
      </c>
      <c r="F14" s="398">
        <v>61556.071123</v>
      </c>
      <c r="G14" s="386"/>
      <c r="H14" s="387"/>
      <c r="I14" s="79"/>
      <c r="J14" s="433" t="s">
        <v>28</v>
      </c>
      <c r="K14" s="434" t="s">
        <v>29</v>
      </c>
      <c r="L14" s="435">
        <v>265351.93604612</v>
      </c>
      <c r="N14" s="277"/>
    </row>
    <row r="15" spans="2:14">
      <c r="B15" s="382"/>
      <c r="C15" s="33"/>
      <c r="D15" s="383" t="s">
        <v>491</v>
      </c>
      <c r="E15" s="384" t="s">
        <v>492</v>
      </c>
      <c r="F15" s="398">
        <v>22910.600747</v>
      </c>
      <c r="G15" s="386"/>
      <c r="H15" s="387"/>
      <c r="I15" s="79"/>
      <c r="J15" s="433" t="s">
        <v>16</v>
      </c>
      <c r="K15" s="434" t="s">
        <v>17</v>
      </c>
      <c r="L15" s="435">
        <v>149196.78556604</v>
      </c>
      <c r="N15" s="277"/>
    </row>
    <row r="16" ht="16.35" spans="2:14">
      <c r="B16" s="388"/>
      <c r="C16" s="389"/>
      <c r="D16" s="383" t="s">
        <v>493</v>
      </c>
      <c r="E16" s="384" t="s">
        <v>494</v>
      </c>
      <c r="F16" s="398">
        <v>19009.984596</v>
      </c>
      <c r="G16" s="386"/>
      <c r="H16" s="390"/>
      <c r="I16" s="436"/>
      <c r="J16" s="443" t="s">
        <v>48</v>
      </c>
      <c r="K16" s="437" t="s">
        <v>49</v>
      </c>
      <c r="L16" s="438">
        <v>58938.22763381</v>
      </c>
      <c r="N16" s="277"/>
    </row>
    <row r="17" ht="16.35" spans="2:14">
      <c r="B17" s="391"/>
      <c r="C17" s="392"/>
      <c r="D17" s="393"/>
      <c r="E17" s="394"/>
      <c r="F17" s="395"/>
      <c r="G17" s="386"/>
      <c r="H17" s="396"/>
      <c r="I17" s="439"/>
      <c r="J17" s="440"/>
      <c r="K17" s="441"/>
      <c r="L17" s="442"/>
      <c r="N17" s="277"/>
    </row>
    <row r="18" spans="2:14">
      <c r="B18" s="397" t="s">
        <v>495</v>
      </c>
      <c r="C18" s="81" t="s">
        <v>496</v>
      </c>
      <c r="D18" s="383" t="s">
        <v>10</v>
      </c>
      <c r="E18" s="384" t="s">
        <v>11</v>
      </c>
      <c r="F18" s="398">
        <v>726838.29193833</v>
      </c>
      <c r="G18" s="386"/>
      <c r="H18" s="381" t="s">
        <v>164</v>
      </c>
      <c r="I18" s="399" t="s">
        <v>497</v>
      </c>
      <c r="J18" s="430" t="s">
        <v>10</v>
      </c>
      <c r="K18" s="444" t="s">
        <v>11</v>
      </c>
      <c r="L18" s="379">
        <v>779384.8221985</v>
      </c>
      <c r="N18" s="277"/>
    </row>
    <row r="19" spans="2:14">
      <c r="B19" s="382"/>
      <c r="C19" s="33"/>
      <c r="D19" s="383" t="s">
        <v>42</v>
      </c>
      <c r="E19" s="384" t="s">
        <v>43</v>
      </c>
      <c r="F19" s="398">
        <v>93507.372246</v>
      </c>
      <c r="G19" s="386"/>
      <c r="H19" s="387"/>
      <c r="I19" s="79"/>
      <c r="J19" s="433" t="s">
        <v>20</v>
      </c>
      <c r="K19" s="445" t="s">
        <v>21</v>
      </c>
      <c r="L19" s="385">
        <v>240168.39392728</v>
      </c>
      <c r="N19" s="277"/>
    </row>
    <row r="20" spans="2:14">
      <c r="B20" s="382"/>
      <c r="C20" s="33"/>
      <c r="D20" s="383" t="s">
        <v>58</v>
      </c>
      <c r="E20" s="384" t="s">
        <v>59</v>
      </c>
      <c r="F20" s="398">
        <v>60115.657957</v>
      </c>
      <c r="G20" s="386"/>
      <c r="H20" s="387"/>
      <c r="I20" s="79"/>
      <c r="J20" s="433" t="s">
        <v>32</v>
      </c>
      <c r="K20" s="445" t="s">
        <v>33</v>
      </c>
      <c r="L20" s="385">
        <v>214296.15353472</v>
      </c>
      <c r="N20" s="277"/>
    </row>
    <row r="21" spans="2:14">
      <c r="B21" s="382"/>
      <c r="C21" s="33"/>
      <c r="D21" s="383" t="s">
        <v>498</v>
      </c>
      <c r="E21" s="384" t="s">
        <v>499</v>
      </c>
      <c r="F21" s="398">
        <v>45040.713197</v>
      </c>
      <c r="G21" s="386"/>
      <c r="H21" s="387"/>
      <c r="I21" s="79"/>
      <c r="J21" s="433" t="s">
        <v>16</v>
      </c>
      <c r="K21" s="445" t="s">
        <v>17</v>
      </c>
      <c r="L21" s="385">
        <v>95969.16388445</v>
      </c>
      <c r="N21" s="277"/>
    </row>
    <row r="22" ht="16.35" spans="2:14">
      <c r="B22" s="388"/>
      <c r="C22" s="389"/>
      <c r="D22" s="383" t="s">
        <v>96</v>
      </c>
      <c r="E22" s="384" t="s">
        <v>97</v>
      </c>
      <c r="F22" s="398">
        <v>32852.917991</v>
      </c>
      <c r="G22" s="386"/>
      <c r="H22" s="390"/>
      <c r="I22" s="436"/>
      <c r="J22" s="443" t="s">
        <v>24</v>
      </c>
      <c r="K22" s="446" t="s">
        <v>25</v>
      </c>
      <c r="L22" s="415">
        <v>58835.24539137</v>
      </c>
      <c r="N22" s="277"/>
    </row>
    <row r="23" ht="16.35" spans="2:14">
      <c r="B23" s="391"/>
      <c r="C23" s="392"/>
      <c r="D23" s="393"/>
      <c r="E23" s="394"/>
      <c r="F23" s="395"/>
      <c r="G23" s="386"/>
      <c r="H23" s="396"/>
      <c r="I23" s="439"/>
      <c r="J23" s="440"/>
      <c r="K23" s="441"/>
      <c r="L23" s="442"/>
      <c r="N23" s="277"/>
    </row>
    <row r="24" spans="2:14">
      <c r="B24" s="397" t="s">
        <v>161</v>
      </c>
      <c r="C24" s="399" t="s">
        <v>490</v>
      </c>
      <c r="D24" s="383" t="s">
        <v>12</v>
      </c>
      <c r="E24" s="384" t="s">
        <v>13</v>
      </c>
      <c r="F24" s="398">
        <v>496954.86629595</v>
      </c>
      <c r="G24" s="386"/>
      <c r="H24" s="381" t="s">
        <v>167</v>
      </c>
      <c r="I24" s="399" t="s">
        <v>500</v>
      </c>
      <c r="J24" s="430" t="s">
        <v>10</v>
      </c>
      <c r="K24" s="431" t="s">
        <v>11</v>
      </c>
      <c r="L24" s="379">
        <v>1280905.38176697</v>
      </c>
      <c r="N24" s="277"/>
    </row>
    <row r="25" spans="2:14">
      <c r="B25" s="382"/>
      <c r="C25" s="33"/>
      <c r="D25" s="383" t="s">
        <v>8</v>
      </c>
      <c r="E25" s="384" t="s">
        <v>9</v>
      </c>
      <c r="F25" s="398">
        <v>191270.748053</v>
      </c>
      <c r="G25" s="386"/>
      <c r="H25" s="387"/>
      <c r="I25" s="79"/>
      <c r="J25" s="433" t="s">
        <v>14</v>
      </c>
      <c r="K25" s="434" t="s">
        <v>15</v>
      </c>
      <c r="L25" s="385">
        <v>137152.30198594</v>
      </c>
      <c r="N25" s="277"/>
    </row>
    <row r="26" spans="2:14">
      <c r="B26" s="382"/>
      <c r="C26" s="33"/>
      <c r="D26" s="383" t="s">
        <v>501</v>
      </c>
      <c r="E26" s="384" t="s">
        <v>502</v>
      </c>
      <c r="F26" s="398">
        <v>29757.801449</v>
      </c>
      <c r="G26" s="386"/>
      <c r="H26" s="387"/>
      <c r="I26" s="79"/>
      <c r="J26" s="433" t="s">
        <v>20</v>
      </c>
      <c r="K26" s="434" t="s">
        <v>21</v>
      </c>
      <c r="L26" s="385">
        <v>17458.03054195</v>
      </c>
      <c r="N26" s="277"/>
    </row>
    <row r="27" spans="2:14">
      <c r="B27" s="382"/>
      <c r="C27" s="33"/>
      <c r="D27" s="383" t="s">
        <v>503</v>
      </c>
      <c r="E27" s="384" t="s">
        <v>504</v>
      </c>
      <c r="F27" s="398">
        <v>17477.9684</v>
      </c>
      <c r="G27" s="386"/>
      <c r="H27" s="387"/>
      <c r="I27" s="79"/>
      <c r="J27" s="433" t="s">
        <v>24</v>
      </c>
      <c r="K27" s="434" t="s">
        <v>25</v>
      </c>
      <c r="L27" s="385">
        <v>1837.836</v>
      </c>
      <c r="N27" s="277"/>
    </row>
    <row r="28" ht="16.35" spans="2:14">
      <c r="B28" s="388"/>
      <c r="C28" s="389"/>
      <c r="D28" s="383" t="s">
        <v>505</v>
      </c>
      <c r="E28" s="384" t="s">
        <v>506</v>
      </c>
      <c r="F28" s="398">
        <v>13604.259199</v>
      </c>
      <c r="G28" s="386"/>
      <c r="H28" s="390"/>
      <c r="I28" s="436"/>
      <c r="J28" s="443" t="s">
        <v>507</v>
      </c>
      <c r="K28" s="437" t="s">
        <v>508</v>
      </c>
      <c r="L28" s="415">
        <v>1607.08595717</v>
      </c>
      <c r="N28" s="277"/>
    </row>
    <row r="29" ht="16.35" spans="2:14">
      <c r="B29" s="391"/>
      <c r="C29" s="392"/>
      <c r="D29" s="393"/>
      <c r="E29" s="394"/>
      <c r="F29" s="395"/>
      <c r="G29" s="386"/>
      <c r="H29" s="396"/>
      <c r="I29" s="439"/>
      <c r="J29" s="440"/>
      <c r="K29" s="441"/>
      <c r="L29" s="442"/>
      <c r="N29" s="277"/>
    </row>
    <row r="30" spans="2:14">
      <c r="B30" s="397" t="s">
        <v>172</v>
      </c>
      <c r="C30" s="81" t="s">
        <v>509</v>
      </c>
      <c r="D30" s="383" t="s">
        <v>8</v>
      </c>
      <c r="E30" s="384" t="s">
        <v>9</v>
      </c>
      <c r="F30" s="398">
        <v>329093.20768955</v>
      </c>
      <c r="G30" s="386"/>
      <c r="H30" s="381" t="s">
        <v>170</v>
      </c>
      <c r="I30" s="399" t="s">
        <v>510</v>
      </c>
      <c r="J30" s="430" t="s">
        <v>10</v>
      </c>
      <c r="K30" s="431" t="s">
        <v>11</v>
      </c>
      <c r="L30" s="379">
        <v>989537.96291087</v>
      </c>
      <c r="N30" s="277"/>
    </row>
    <row r="31" spans="2:14">
      <c r="B31" s="382"/>
      <c r="C31" s="33"/>
      <c r="D31" s="383" t="s">
        <v>511</v>
      </c>
      <c r="E31" s="384" t="s">
        <v>512</v>
      </c>
      <c r="F31" s="398">
        <v>29501.284013</v>
      </c>
      <c r="G31" s="386"/>
      <c r="H31" s="387"/>
      <c r="I31" s="79"/>
      <c r="J31" s="433" t="s">
        <v>14</v>
      </c>
      <c r="K31" s="434" t="s">
        <v>15</v>
      </c>
      <c r="L31" s="385">
        <v>258352.52786434</v>
      </c>
      <c r="N31" s="277"/>
    </row>
    <row r="32" spans="2:14">
      <c r="B32" s="382"/>
      <c r="C32" s="33"/>
      <c r="D32" s="383" t="s">
        <v>513</v>
      </c>
      <c r="E32" s="384" t="s">
        <v>514</v>
      </c>
      <c r="F32" s="398">
        <v>19992.673383</v>
      </c>
      <c r="G32" s="386"/>
      <c r="H32" s="387"/>
      <c r="I32" s="79"/>
      <c r="J32" s="433" t="s">
        <v>16</v>
      </c>
      <c r="K32" s="434" t="s">
        <v>17</v>
      </c>
      <c r="L32" s="385">
        <v>124906.13010418</v>
      </c>
      <c r="N32" s="277"/>
    </row>
    <row r="33" spans="2:14">
      <c r="B33" s="382"/>
      <c r="C33" s="33"/>
      <c r="D33" s="383" t="s">
        <v>515</v>
      </c>
      <c r="E33" s="384" t="s">
        <v>516</v>
      </c>
      <c r="F33" s="398">
        <v>18579.362883</v>
      </c>
      <c r="G33" s="386"/>
      <c r="H33" s="387"/>
      <c r="I33" s="79"/>
      <c r="J33" s="433" t="s">
        <v>337</v>
      </c>
      <c r="K33" s="434" t="s">
        <v>338</v>
      </c>
      <c r="L33" s="385">
        <v>37227.66407</v>
      </c>
      <c r="N33" s="277"/>
    </row>
    <row r="34" ht="16.35" spans="2:14">
      <c r="B34" s="400"/>
      <c r="C34" s="401"/>
      <c r="D34" s="402" t="s">
        <v>517</v>
      </c>
      <c r="E34" s="403" t="s">
        <v>518</v>
      </c>
      <c r="F34" s="398">
        <v>17056.265754</v>
      </c>
      <c r="G34" s="404"/>
      <c r="H34" s="390"/>
      <c r="I34" s="436"/>
      <c r="J34" s="443" t="s">
        <v>24</v>
      </c>
      <c r="K34" s="437" t="s">
        <v>25</v>
      </c>
      <c r="L34" s="415">
        <v>12818.29735672</v>
      </c>
      <c r="N34" s="277"/>
    </row>
    <row r="35" ht="16.35" spans="2:14">
      <c r="B35" s="405"/>
      <c r="C35" s="406"/>
      <c r="D35" s="406"/>
      <c r="E35" s="406"/>
      <c r="F35" s="406"/>
      <c r="G35" s="407"/>
      <c r="H35" s="406"/>
      <c r="I35" s="406"/>
      <c r="J35" s="406"/>
      <c r="K35" s="406"/>
      <c r="L35" s="447"/>
      <c r="N35" s="277"/>
    </row>
    <row r="36" spans="14:14">
      <c r="N36" s="277"/>
    </row>
    <row r="37" spans="14:14">
      <c r="N37" s="277"/>
    </row>
    <row r="38" ht="17.5" customHeight="1" spans="2:14">
      <c r="B38" s="361" t="s">
        <v>519</v>
      </c>
      <c r="C38" s="362"/>
      <c r="D38" s="362"/>
      <c r="E38" s="362"/>
      <c r="F38" s="362"/>
      <c r="G38" s="362"/>
      <c r="H38" s="362"/>
      <c r="I38" s="362"/>
      <c r="J38" s="362"/>
      <c r="K38" s="362"/>
      <c r="L38" s="425"/>
      <c r="N38" s="277"/>
    </row>
    <row r="39" ht="16.5" customHeight="1" spans="2:14">
      <c r="B39" s="363"/>
      <c r="C39" s="364"/>
      <c r="D39" s="364"/>
      <c r="E39" s="364"/>
      <c r="F39" s="364"/>
      <c r="G39" s="364"/>
      <c r="H39" s="364"/>
      <c r="I39" s="364"/>
      <c r="J39" s="364"/>
      <c r="K39" s="364"/>
      <c r="L39" s="426"/>
      <c r="N39" s="277"/>
    </row>
    <row r="40" ht="18.9" spans="2:14">
      <c r="B40" s="365" t="s">
        <v>445</v>
      </c>
      <c r="C40" s="366"/>
      <c r="D40" s="366"/>
      <c r="E40" s="366"/>
      <c r="F40" s="367"/>
      <c r="G40" s="368"/>
      <c r="H40" s="369" t="s">
        <v>444</v>
      </c>
      <c r="I40" s="366"/>
      <c r="J40" s="366"/>
      <c r="K40" s="366"/>
      <c r="L40" s="427"/>
      <c r="N40" s="277"/>
    </row>
    <row r="41" ht="32.7" spans="2:14">
      <c r="B41" s="370" t="s">
        <v>147</v>
      </c>
      <c r="C41" s="370" t="s">
        <v>153</v>
      </c>
      <c r="D41" s="371" t="s">
        <v>246</v>
      </c>
      <c r="E41" s="371" t="s">
        <v>483</v>
      </c>
      <c r="F41" s="956" t="s">
        <v>520</v>
      </c>
      <c r="G41" s="373"/>
      <c r="H41" s="374" t="s">
        <v>147</v>
      </c>
      <c r="I41" s="428" t="s">
        <v>148</v>
      </c>
      <c r="J41" s="371" t="s">
        <v>246</v>
      </c>
      <c r="K41" s="371" t="s">
        <v>483</v>
      </c>
      <c r="L41" s="955" t="s">
        <v>520</v>
      </c>
      <c r="N41" s="277"/>
    </row>
    <row r="42" spans="2:14">
      <c r="B42" s="375" t="s">
        <v>202</v>
      </c>
      <c r="C42" s="409" t="s">
        <v>521</v>
      </c>
      <c r="D42" s="410" t="s">
        <v>10</v>
      </c>
      <c r="E42" s="410" t="s">
        <v>11</v>
      </c>
      <c r="F42" s="379">
        <v>223582.18187433</v>
      </c>
      <c r="G42" s="411"/>
      <c r="H42" s="375" t="s">
        <v>190</v>
      </c>
      <c r="I42" s="409" t="s">
        <v>522</v>
      </c>
      <c r="J42" s="410" t="s">
        <v>10</v>
      </c>
      <c r="K42" s="410" t="s">
        <v>11</v>
      </c>
      <c r="L42" s="379">
        <v>704726.43600494</v>
      </c>
      <c r="N42" s="277"/>
    </row>
    <row r="43" spans="2:14">
      <c r="B43" s="382"/>
      <c r="C43" s="12"/>
      <c r="D43" s="10" t="s">
        <v>523</v>
      </c>
      <c r="E43" s="412" t="s">
        <v>524</v>
      </c>
      <c r="F43" s="385">
        <v>729.25638</v>
      </c>
      <c r="G43" s="386"/>
      <c r="H43" s="382"/>
      <c r="I43" s="12"/>
      <c r="J43" s="10" t="s">
        <v>525</v>
      </c>
      <c r="K43" s="10" t="s">
        <v>526</v>
      </c>
      <c r="L43" s="385">
        <v>2184.04851235</v>
      </c>
      <c r="N43" s="277"/>
    </row>
    <row r="44" spans="2:14">
      <c r="B44" s="382"/>
      <c r="C44" s="12"/>
      <c r="D44" s="10" t="s">
        <v>42</v>
      </c>
      <c r="E44" s="10" t="s">
        <v>43</v>
      </c>
      <c r="F44" s="385">
        <v>23.206975</v>
      </c>
      <c r="G44" s="386"/>
      <c r="H44" s="382"/>
      <c r="I44" s="12"/>
      <c r="J44" s="10" t="s">
        <v>88</v>
      </c>
      <c r="K44" s="10" t="s">
        <v>89</v>
      </c>
      <c r="L44" s="385">
        <v>1094.54908394</v>
      </c>
      <c r="N44" s="277"/>
    </row>
    <row r="45" spans="2:14">
      <c r="B45" s="382"/>
      <c r="C45" s="12"/>
      <c r="D45" s="10" t="s">
        <v>339</v>
      </c>
      <c r="E45" s="10" t="s">
        <v>340</v>
      </c>
      <c r="F45" s="385">
        <v>14.232768</v>
      </c>
      <c r="G45" s="386"/>
      <c r="H45" s="382"/>
      <c r="I45" s="12"/>
      <c r="J45" s="10" t="s">
        <v>527</v>
      </c>
      <c r="K45" s="10" t="s">
        <v>528</v>
      </c>
      <c r="L45" s="385">
        <v>237.21914905</v>
      </c>
      <c r="N45" s="277"/>
    </row>
    <row r="46" ht="16.35" spans="2:14">
      <c r="B46" s="400"/>
      <c r="C46" s="413"/>
      <c r="D46" s="414" t="s">
        <v>529</v>
      </c>
      <c r="E46" s="414" t="s">
        <v>530</v>
      </c>
      <c r="F46" s="415">
        <v>12.064945</v>
      </c>
      <c r="G46" s="404"/>
      <c r="H46" s="400"/>
      <c r="I46" s="413"/>
      <c r="J46" s="414" t="s">
        <v>531</v>
      </c>
      <c r="K46" s="414" t="s">
        <v>532</v>
      </c>
      <c r="L46" s="415">
        <v>154.54199509</v>
      </c>
      <c r="N46" s="277"/>
    </row>
    <row r="47" ht="16.35" spans="2:14">
      <c r="B47" s="416"/>
      <c r="C47" s="417"/>
      <c r="D47" s="417"/>
      <c r="E47" s="417"/>
      <c r="F47" s="417"/>
      <c r="G47" s="407"/>
      <c r="H47" s="418"/>
      <c r="I47" s="418"/>
      <c r="J47" s="418"/>
      <c r="K47" s="418"/>
      <c r="L47" s="448"/>
      <c r="N47" s="277"/>
    </row>
    <row r="48" spans="2:14">
      <c r="B48" s="375" t="s">
        <v>206</v>
      </c>
      <c r="C48" s="409" t="s">
        <v>533</v>
      </c>
      <c r="D48" s="410" t="s">
        <v>12</v>
      </c>
      <c r="E48" s="410" t="s">
        <v>13</v>
      </c>
      <c r="F48" s="419">
        <v>89179.18572</v>
      </c>
      <c r="G48" s="411"/>
      <c r="H48" s="381" t="s">
        <v>204</v>
      </c>
      <c r="I48" s="410" t="s">
        <v>534</v>
      </c>
      <c r="J48" s="410" t="s">
        <v>10</v>
      </c>
      <c r="K48" s="410" t="s">
        <v>11</v>
      </c>
      <c r="L48" s="379">
        <v>403997.65670808</v>
      </c>
      <c r="N48" s="277"/>
    </row>
    <row r="49" spans="2:14">
      <c r="B49" s="382"/>
      <c r="C49" s="12"/>
      <c r="D49" s="10" t="s">
        <v>8</v>
      </c>
      <c r="E49" s="10" t="s">
        <v>9</v>
      </c>
      <c r="F49" s="420">
        <v>23150.207548</v>
      </c>
      <c r="G49" s="386"/>
      <c r="H49" s="387"/>
      <c r="I49" s="10"/>
      <c r="J49" s="10" t="s">
        <v>20</v>
      </c>
      <c r="K49" s="10" t="s">
        <v>21</v>
      </c>
      <c r="L49" s="385">
        <v>13790.31661432</v>
      </c>
      <c r="N49" s="277"/>
    </row>
    <row r="50" spans="2:14">
      <c r="B50" s="382"/>
      <c r="C50" s="12"/>
      <c r="D50" s="10" t="s">
        <v>90</v>
      </c>
      <c r="E50" s="10" t="s">
        <v>91</v>
      </c>
      <c r="F50" s="420">
        <v>17514.00309</v>
      </c>
      <c r="G50" s="386"/>
      <c r="H50" s="387"/>
      <c r="I50" s="10"/>
      <c r="J50" s="10" t="s">
        <v>143</v>
      </c>
      <c r="K50" s="10" t="s">
        <v>144</v>
      </c>
      <c r="L50" s="385">
        <v>3122.81226639</v>
      </c>
      <c r="N50" s="277"/>
    </row>
    <row r="51" spans="2:14">
      <c r="B51" s="382"/>
      <c r="C51" s="12"/>
      <c r="D51" s="10" t="s">
        <v>124</v>
      </c>
      <c r="E51" s="10" t="s">
        <v>125</v>
      </c>
      <c r="F51" s="420">
        <v>1725.460816</v>
      </c>
      <c r="G51" s="386"/>
      <c r="H51" s="387"/>
      <c r="I51" s="10"/>
      <c r="J51" s="10" t="s">
        <v>88</v>
      </c>
      <c r="K51" s="10" t="s">
        <v>89</v>
      </c>
      <c r="L51" s="385">
        <v>1211.9451174</v>
      </c>
      <c r="N51" s="277"/>
    </row>
    <row r="52" ht="16.35" spans="2:14">
      <c r="B52" s="400"/>
      <c r="C52" s="413"/>
      <c r="D52" s="414" t="s">
        <v>535</v>
      </c>
      <c r="E52" s="414" t="s">
        <v>536</v>
      </c>
      <c r="F52" s="421">
        <v>369.850563</v>
      </c>
      <c r="G52" s="404"/>
      <c r="H52" s="390"/>
      <c r="I52" s="414"/>
      <c r="J52" s="414" t="s">
        <v>282</v>
      </c>
      <c r="K52" s="414" t="s">
        <v>283</v>
      </c>
      <c r="L52" s="415">
        <v>835.112481</v>
      </c>
      <c r="N52" s="277"/>
    </row>
    <row r="53" ht="16.35" spans="2:14">
      <c r="B53" s="405"/>
      <c r="C53" s="406"/>
      <c r="D53" s="406"/>
      <c r="E53" s="406"/>
      <c r="F53" s="406"/>
      <c r="G53" s="407"/>
      <c r="H53" s="417"/>
      <c r="I53" s="417"/>
      <c r="J53" s="417"/>
      <c r="K53" s="417"/>
      <c r="L53" s="449"/>
      <c r="N53" s="277"/>
    </row>
    <row r="54" spans="2:14">
      <c r="B54" s="375" t="s">
        <v>190</v>
      </c>
      <c r="C54" s="409" t="s">
        <v>522</v>
      </c>
      <c r="D54" s="410" t="s">
        <v>76</v>
      </c>
      <c r="E54" s="410" t="s">
        <v>537</v>
      </c>
      <c r="F54" s="379">
        <v>25839.773905</v>
      </c>
      <c r="G54" s="380"/>
      <c r="H54" s="381" t="s">
        <v>208</v>
      </c>
      <c r="I54" s="410" t="s">
        <v>538</v>
      </c>
      <c r="J54" s="410" t="s">
        <v>10</v>
      </c>
      <c r="K54" s="410" t="s">
        <v>11</v>
      </c>
      <c r="L54" s="379">
        <v>327894.14155203</v>
      </c>
      <c r="N54" s="277"/>
    </row>
    <row r="55" spans="2:14">
      <c r="B55" s="382"/>
      <c r="C55" s="12"/>
      <c r="D55" s="10" t="s">
        <v>34</v>
      </c>
      <c r="E55" s="10" t="s">
        <v>35</v>
      </c>
      <c r="F55" s="385">
        <v>20353.506036</v>
      </c>
      <c r="G55" s="422"/>
      <c r="H55" s="387"/>
      <c r="I55" s="10"/>
      <c r="J55" s="10" t="s">
        <v>20</v>
      </c>
      <c r="K55" s="10" t="s">
        <v>21</v>
      </c>
      <c r="L55" s="385">
        <v>10155.58415131</v>
      </c>
      <c r="N55" s="277"/>
    </row>
    <row r="56" spans="2:14">
      <c r="B56" s="382"/>
      <c r="C56" s="12"/>
      <c r="D56" s="10" t="s">
        <v>104</v>
      </c>
      <c r="E56" s="10" t="s">
        <v>105</v>
      </c>
      <c r="F56" s="385">
        <v>10106.499046</v>
      </c>
      <c r="G56" s="422"/>
      <c r="H56" s="387"/>
      <c r="I56" s="10"/>
      <c r="J56" s="10" t="s">
        <v>92</v>
      </c>
      <c r="K56" s="10" t="s">
        <v>93</v>
      </c>
      <c r="L56" s="385">
        <v>4382.7498</v>
      </c>
      <c r="N56" s="277"/>
    </row>
    <row r="57" spans="2:14">
      <c r="B57" s="382"/>
      <c r="C57" s="12"/>
      <c r="D57" s="10" t="s">
        <v>539</v>
      </c>
      <c r="E57" s="10" t="s">
        <v>540</v>
      </c>
      <c r="F57" s="385">
        <v>7444.378516</v>
      </c>
      <c r="G57" s="422"/>
      <c r="H57" s="387"/>
      <c r="I57" s="10"/>
      <c r="J57" s="10" t="s">
        <v>541</v>
      </c>
      <c r="K57" s="10" t="s">
        <v>542</v>
      </c>
      <c r="L57" s="385">
        <v>950.3174</v>
      </c>
      <c r="N57" s="277"/>
    </row>
    <row r="58" ht="16.35" spans="2:14">
      <c r="B58" s="400"/>
      <c r="C58" s="413"/>
      <c r="D58" s="414" t="s">
        <v>543</v>
      </c>
      <c r="E58" s="414" t="s">
        <v>544</v>
      </c>
      <c r="F58" s="415">
        <v>3725.787042</v>
      </c>
      <c r="G58" s="423"/>
      <c r="H58" s="390"/>
      <c r="I58" s="414"/>
      <c r="J58" s="414" t="s">
        <v>84</v>
      </c>
      <c r="K58" s="414" t="s">
        <v>85</v>
      </c>
      <c r="L58" s="415">
        <v>859.745821</v>
      </c>
      <c r="N58" s="277"/>
    </row>
    <row r="59" ht="16.35" spans="2:14">
      <c r="B59" s="424"/>
      <c r="C59" s="418"/>
      <c r="D59" s="418"/>
      <c r="E59" s="418"/>
      <c r="F59" s="418"/>
      <c r="G59" s="407"/>
      <c r="H59" s="417"/>
      <c r="I59" s="417"/>
      <c r="J59" s="417"/>
      <c r="K59" s="417"/>
      <c r="L59" s="449"/>
      <c r="N59" s="277"/>
    </row>
    <row r="60" spans="2:14">
      <c r="B60" s="375" t="s">
        <v>210</v>
      </c>
      <c r="C60" s="409" t="s">
        <v>545</v>
      </c>
      <c r="D60" s="410" t="s">
        <v>10</v>
      </c>
      <c r="E60" s="410" t="s">
        <v>11</v>
      </c>
      <c r="F60" s="379">
        <v>122366.70358302</v>
      </c>
      <c r="G60" s="411"/>
      <c r="H60" s="381" t="s">
        <v>206</v>
      </c>
      <c r="I60" s="410" t="s">
        <v>533</v>
      </c>
      <c r="J60" s="410" t="s">
        <v>64</v>
      </c>
      <c r="K60" s="410" t="s">
        <v>65</v>
      </c>
      <c r="L60" s="379">
        <v>66317.05132304</v>
      </c>
      <c r="N60" s="277"/>
    </row>
    <row r="61" spans="2:14">
      <c r="B61" s="382"/>
      <c r="C61" s="12"/>
      <c r="D61" s="10" t="s">
        <v>78</v>
      </c>
      <c r="E61" s="10" t="s">
        <v>79</v>
      </c>
      <c r="F61" s="385">
        <v>1583.431405</v>
      </c>
      <c r="G61" s="386"/>
      <c r="H61" s="387"/>
      <c r="I61" s="10"/>
      <c r="J61" s="10" t="s">
        <v>48</v>
      </c>
      <c r="K61" s="10" t="s">
        <v>49</v>
      </c>
      <c r="L61" s="385">
        <v>27562.91078843</v>
      </c>
      <c r="N61" s="277"/>
    </row>
    <row r="62" spans="2:14">
      <c r="B62" s="382"/>
      <c r="C62" s="12"/>
      <c r="D62" s="10" t="s">
        <v>546</v>
      </c>
      <c r="E62" s="10" t="s">
        <v>547</v>
      </c>
      <c r="F62" s="385">
        <v>260.617333</v>
      </c>
      <c r="G62" s="386"/>
      <c r="H62" s="387"/>
      <c r="I62" s="10"/>
      <c r="J62" s="10" t="s">
        <v>72</v>
      </c>
      <c r="K62" s="10" t="s">
        <v>548</v>
      </c>
      <c r="L62" s="385">
        <v>19319.485265851</v>
      </c>
      <c r="N62" s="277"/>
    </row>
    <row r="63" spans="2:14">
      <c r="B63" s="382"/>
      <c r="C63" s="12"/>
      <c r="D63" s="10" t="s">
        <v>549</v>
      </c>
      <c r="E63" s="10" t="s">
        <v>550</v>
      </c>
      <c r="F63" s="385">
        <v>154.830283</v>
      </c>
      <c r="G63" s="386"/>
      <c r="H63" s="387"/>
      <c r="I63" s="10"/>
      <c r="J63" s="10" t="s">
        <v>102</v>
      </c>
      <c r="K63" s="10" t="s">
        <v>103</v>
      </c>
      <c r="L63" s="385">
        <v>7282.78984</v>
      </c>
      <c r="N63" s="277"/>
    </row>
    <row r="64" ht="16.35" spans="2:14">
      <c r="B64" s="400"/>
      <c r="C64" s="413"/>
      <c r="D64" s="414" t="s">
        <v>551</v>
      </c>
      <c r="E64" s="414" t="s">
        <v>552</v>
      </c>
      <c r="F64" s="415">
        <v>26.552697</v>
      </c>
      <c r="G64" s="404"/>
      <c r="H64" s="390"/>
      <c r="I64" s="414"/>
      <c r="J64" s="414" t="s">
        <v>88</v>
      </c>
      <c r="K64" s="414" t="s">
        <v>89</v>
      </c>
      <c r="L64" s="415">
        <v>6632.30868553</v>
      </c>
      <c r="N64" s="277"/>
    </row>
    <row r="65" ht="16.35" spans="2:14">
      <c r="B65" s="416"/>
      <c r="C65" s="417"/>
      <c r="D65" s="417"/>
      <c r="E65" s="417"/>
      <c r="F65" s="417"/>
      <c r="G65" s="407"/>
      <c r="H65" s="417"/>
      <c r="I65" s="417"/>
      <c r="J65" s="417"/>
      <c r="K65" s="417"/>
      <c r="L65" s="449"/>
      <c r="N65" s="277"/>
    </row>
    <row r="66" spans="2:14">
      <c r="B66" s="375" t="s">
        <v>214</v>
      </c>
      <c r="C66" s="409" t="s">
        <v>553</v>
      </c>
      <c r="D66" s="410" t="s">
        <v>78</v>
      </c>
      <c r="E66" s="410" t="s">
        <v>79</v>
      </c>
      <c r="F66" s="379">
        <v>21054.984692</v>
      </c>
      <c r="G66" s="411"/>
      <c r="H66" s="381" t="s">
        <v>212</v>
      </c>
      <c r="I66" s="410" t="s">
        <v>554</v>
      </c>
      <c r="J66" s="410" t="s">
        <v>10</v>
      </c>
      <c r="K66" s="410" t="s">
        <v>11</v>
      </c>
      <c r="L66" s="379">
        <v>50548.24500048</v>
      </c>
      <c r="N66" s="277"/>
    </row>
    <row r="67" spans="2:14">
      <c r="B67" s="382"/>
      <c r="C67" s="12"/>
      <c r="D67" s="10" t="s">
        <v>555</v>
      </c>
      <c r="E67" s="10" t="s">
        <v>556</v>
      </c>
      <c r="F67" s="385">
        <v>9273.191303</v>
      </c>
      <c r="G67" s="386"/>
      <c r="H67" s="387"/>
      <c r="I67" s="10"/>
      <c r="J67" s="10" t="s">
        <v>52</v>
      </c>
      <c r="K67" s="10" t="s">
        <v>53</v>
      </c>
      <c r="L67" s="385">
        <v>21660.53573332</v>
      </c>
      <c r="N67" s="277"/>
    </row>
    <row r="68" spans="2:14">
      <c r="B68" s="382"/>
      <c r="C68" s="12"/>
      <c r="D68" s="10" t="s">
        <v>94</v>
      </c>
      <c r="E68" s="10" t="s">
        <v>95</v>
      </c>
      <c r="F68" s="385">
        <v>7285.194944</v>
      </c>
      <c r="G68" s="386"/>
      <c r="H68" s="387"/>
      <c r="I68" s="10"/>
      <c r="J68" s="10" t="s">
        <v>96</v>
      </c>
      <c r="K68" s="10" t="s">
        <v>97</v>
      </c>
      <c r="L68" s="385">
        <v>8087.77229472</v>
      </c>
      <c r="N68" s="277"/>
    </row>
    <row r="69" spans="2:14">
      <c r="B69" s="382"/>
      <c r="C69" s="12"/>
      <c r="D69" s="10" t="s">
        <v>557</v>
      </c>
      <c r="E69" s="10" t="s">
        <v>558</v>
      </c>
      <c r="F69" s="385">
        <v>5356.425874</v>
      </c>
      <c r="G69" s="386"/>
      <c r="H69" s="387"/>
      <c r="I69" s="10"/>
      <c r="J69" s="10" t="s">
        <v>98</v>
      </c>
      <c r="K69" s="10" t="s">
        <v>99</v>
      </c>
      <c r="L69" s="385">
        <v>7984.173202</v>
      </c>
      <c r="N69" s="277"/>
    </row>
    <row r="70" ht="16.35" spans="2:14">
      <c r="B70" s="400"/>
      <c r="C70" s="413"/>
      <c r="D70" s="414" t="s">
        <v>559</v>
      </c>
      <c r="E70" s="414" t="s">
        <v>560</v>
      </c>
      <c r="F70" s="415">
        <v>5078.858111</v>
      </c>
      <c r="G70" s="404"/>
      <c r="H70" s="390"/>
      <c r="I70" s="414"/>
      <c r="J70" s="414" t="s">
        <v>84</v>
      </c>
      <c r="K70" s="414" t="s">
        <v>85</v>
      </c>
      <c r="L70" s="415">
        <v>4470.17742879</v>
      </c>
      <c r="N70" s="277"/>
    </row>
    <row r="71" ht="16.35" spans="2:14">
      <c r="B71" s="405"/>
      <c r="C71" s="406"/>
      <c r="D71" s="406"/>
      <c r="E71" s="406"/>
      <c r="F71" s="406"/>
      <c r="G71" s="407"/>
      <c r="H71" s="406"/>
      <c r="I71" s="406"/>
      <c r="J71" s="406"/>
      <c r="K71" s="406"/>
      <c r="L71" s="447"/>
      <c r="N71" s="277"/>
    </row>
    <row r="72" spans="10:14">
      <c r="J72" s="491"/>
      <c r="N72" s="277"/>
    </row>
    <row r="73" ht="16.35" spans="10:14">
      <c r="J73" s="491"/>
      <c r="N73" s="277"/>
    </row>
    <row r="74" ht="15.75" customHeight="1" spans="2:14">
      <c r="B74" s="450" t="s">
        <v>561</v>
      </c>
      <c r="C74" s="451"/>
      <c r="D74" s="451"/>
      <c r="E74" s="451"/>
      <c r="F74" s="451"/>
      <c r="G74" s="451"/>
      <c r="H74" s="451"/>
      <c r="I74" s="451"/>
      <c r="J74" s="451"/>
      <c r="K74" s="451"/>
      <c r="L74" s="492"/>
      <c r="N74" s="277"/>
    </row>
    <row r="75" ht="15.75" customHeight="1" spans="2:14">
      <c r="B75" s="452"/>
      <c r="C75" s="453"/>
      <c r="D75" s="453"/>
      <c r="E75" s="453"/>
      <c r="F75" s="453"/>
      <c r="G75" s="453"/>
      <c r="H75" s="453"/>
      <c r="I75" s="453"/>
      <c r="J75" s="453"/>
      <c r="K75" s="453"/>
      <c r="L75" s="493"/>
      <c r="N75" s="277"/>
    </row>
    <row r="76" ht="14.4" spans="2:14">
      <c r="B76" s="454" t="s">
        <v>445</v>
      </c>
      <c r="C76" s="455"/>
      <c r="D76" s="455"/>
      <c r="E76" s="455"/>
      <c r="F76" s="456"/>
      <c r="G76" s="457"/>
      <c r="H76" s="458" t="s">
        <v>444</v>
      </c>
      <c r="I76" s="458"/>
      <c r="J76" s="458"/>
      <c r="K76" s="458"/>
      <c r="L76" s="494"/>
      <c r="N76" s="277"/>
    </row>
    <row r="77" ht="31.95" spans="2:14">
      <c r="B77" s="459" t="s">
        <v>147</v>
      </c>
      <c r="C77" s="460" t="s">
        <v>153</v>
      </c>
      <c r="D77" s="461" t="s">
        <v>246</v>
      </c>
      <c r="E77" s="462" t="s">
        <v>483</v>
      </c>
      <c r="F77" s="957" t="s">
        <v>520</v>
      </c>
      <c r="G77" s="464"/>
      <c r="H77" s="462" t="s">
        <v>147</v>
      </c>
      <c r="I77" s="462" t="s">
        <v>148</v>
      </c>
      <c r="J77" s="461" t="s">
        <v>246</v>
      </c>
      <c r="K77" s="462" t="s">
        <v>483</v>
      </c>
      <c r="L77" s="958" t="s">
        <v>520</v>
      </c>
      <c r="N77" s="277"/>
    </row>
    <row r="78" spans="1:14">
      <c r="A78" t="s">
        <v>207</v>
      </c>
      <c r="B78" s="465" t="s">
        <v>206</v>
      </c>
      <c r="C78" s="466" t="s">
        <v>533</v>
      </c>
      <c r="D78" s="410" t="s">
        <v>12</v>
      </c>
      <c r="E78" s="410" t="s">
        <v>13</v>
      </c>
      <c r="F78" s="379">
        <v>89179.18572</v>
      </c>
      <c r="G78" s="467"/>
      <c r="H78" s="468" t="s">
        <v>204</v>
      </c>
      <c r="I78" s="466" t="s">
        <v>534</v>
      </c>
      <c r="J78" s="410" t="s">
        <v>10</v>
      </c>
      <c r="K78" s="410" t="s">
        <v>11</v>
      </c>
      <c r="L78" s="398">
        <v>403997.65670808</v>
      </c>
      <c r="N78" s="277"/>
    </row>
    <row r="79" spans="1:14">
      <c r="A79" t="s">
        <v>205</v>
      </c>
      <c r="B79" s="469"/>
      <c r="C79" s="470"/>
      <c r="D79" s="10" t="s">
        <v>8</v>
      </c>
      <c r="E79" s="10" t="s">
        <v>9</v>
      </c>
      <c r="F79" s="385">
        <v>23150.207548</v>
      </c>
      <c r="G79" s="471"/>
      <c r="H79" s="472"/>
      <c r="I79" s="496"/>
      <c r="J79" s="10" t="s">
        <v>20</v>
      </c>
      <c r="K79" s="10" t="s">
        <v>21</v>
      </c>
      <c r="L79" s="398">
        <v>13790.31661432</v>
      </c>
      <c r="N79" s="277"/>
    </row>
    <row r="80" spans="1:14">
      <c r="A80" t="s">
        <v>213</v>
      </c>
      <c r="B80" s="469"/>
      <c r="C80" s="470"/>
      <c r="D80" s="10" t="s">
        <v>90</v>
      </c>
      <c r="E80" s="10" t="s">
        <v>91</v>
      </c>
      <c r="F80" s="385">
        <v>17514.00309</v>
      </c>
      <c r="G80" s="471"/>
      <c r="H80" s="472"/>
      <c r="I80" s="496"/>
      <c r="J80" s="10" t="s">
        <v>143</v>
      </c>
      <c r="K80" s="10" t="s">
        <v>144</v>
      </c>
      <c r="L80" s="398">
        <v>3122.81226639</v>
      </c>
      <c r="N80" s="277"/>
    </row>
    <row r="81" spans="1:14">
      <c r="A81" t="s">
        <v>236</v>
      </c>
      <c r="B81" s="469"/>
      <c r="C81" s="470"/>
      <c r="D81" s="10" t="s">
        <v>124</v>
      </c>
      <c r="E81" s="10" t="s">
        <v>125</v>
      </c>
      <c r="F81" s="385">
        <v>1725.460816</v>
      </c>
      <c r="G81" s="471"/>
      <c r="H81" s="472"/>
      <c r="I81" s="496"/>
      <c r="J81" s="10" t="s">
        <v>88</v>
      </c>
      <c r="K81" s="10" t="s">
        <v>89</v>
      </c>
      <c r="L81" s="398">
        <v>1211.9451174</v>
      </c>
      <c r="N81" s="277"/>
    </row>
    <row r="82" ht="16.35" spans="1:14">
      <c r="A82" t="s">
        <v>238</v>
      </c>
      <c r="B82" s="473"/>
      <c r="C82" s="474"/>
      <c r="D82" s="414" t="s">
        <v>535</v>
      </c>
      <c r="E82" s="414" t="s">
        <v>536</v>
      </c>
      <c r="F82" s="415">
        <v>369.850563</v>
      </c>
      <c r="G82" s="475"/>
      <c r="H82" s="476"/>
      <c r="I82" s="497"/>
      <c r="J82" s="414" t="s">
        <v>282</v>
      </c>
      <c r="K82" s="414" t="s">
        <v>283</v>
      </c>
      <c r="L82" s="498">
        <v>835.112481</v>
      </c>
      <c r="N82" s="277"/>
    </row>
    <row r="83" ht="15.75" spans="1:14">
      <c r="A83" t="s">
        <v>221</v>
      </c>
      <c r="B83" s="477"/>
      <c r="C83" s="478"/>
      <c r="D83" s="478"/>
      <c r="E83" s="478"/>
      <c r="F83" s="479"/>
      <c r="G83" s="480"/>
      <c r="H83" s="480"/>
      <c r="I83" s="480"/>
      <c r="J83" s="480"/>
      <c r="K83" s="480"/>
      <c r="L83" s="499"/>
      <c r="N83" s="277"/>
    </row>
    <row r="84" spans="2:14">
      <c r="B84" s="468" t="s">
        <v>204</v>
      </c>
      <c r="C84" s="466" t="s">
        <v>534</v>
      </c>
      <c r="D84" s="410" t="s">
        <v>86</v>
      </c>
      <c r="E84" s="410" t="s">
        <v>87</v>
      </c>
      <c r="F84" s="379">
        <v>20580.608306</v>
      </c>
      <c r="G84" s="467"/>
      <c r="H84" s="468" t="s">
        <v>208</v>
      </c>
      <c r="I84" s="466" t="s">
        <v>538</v>
      </c>
      <c r="J84" s="410" t="s">
        <v>10</v>
      </c>
      <c r="K84" s="410" t="s">
        <v>11</v>
      </c>
      <c r="L84" s="398">
        <v>327894.14155203</v>
      </c>
      <c r="N84" s="277"/>
    </row>
    <row r="85" spans="2:14">
      <c r="B85" s="469"/>
      <c r="C85" s="470"/>
      <c r="D85" s="10" t="s">
        <v>118</v>
      </c>
      <c r="E85" s="10" t="s">
        <v>119</v>
      </c>
      <c r="F85" s="385">
        <v>3243.4183</v>
      </c>
      <c r="G85" s="471"/>
      <c r="H85" s="472"/>
      <c r="I85" s="496"/>
      <c r="J85" s="10" t="s">
        <v>20</v>
      </c>
      <c r="K85" s="10" t="s">
        <v>21</v>
      </c>
      <c r="L85" s="398">
        <v>10155.58415131</v>
      </c>
      <c r="N85" s="277"/>
    </row>
    <row r="86" spans="2:14">
      <c r="B86" s="469"/>
      <c r="C86" s="470"/>
      <c r="D86" s="10" t="s">
        <v>126</v>
      </c>
      <c r="E86" s="10" t="s">
        <v>127</v>
      </c>
      <c r="F86" s="385">
        <v>1627.217714</v>
      </c>
      <c r="G86" s="471"/>
      <c r="H86" s="472"/>
      <c r="I86" s="496"/>
      <c r="J86" s="10" t="s">
        <v>92</v>
      </c>
      <c r="K86" s="10" t="s">
        <v>93</v>
      </c>
      <c r="L86" s="398">
        <v>4382.7498</v>
      </c>
      <c r="N86" s="277"/>
    </row>
    <row r="87" spans="2:14">
      <c r="B87" s="469"/>
      <c r="C87" s="470"/>
      <c r="D87" s="10" t="s">
        <v>141</v>
      </c>
      <c r="E87" s="481" t="s">
        <v>562</v>
      </c>
      <c r="F87" s="385">
        <v>771.41097</v>
      </c>
      <c r="G87" s="471"/>
      <c r="H87" s="472"/>
      <c r="I87" s="496"/>
      <c r="J87" s="10" t="s">
        <v>541</v>
      </c>
      <c r="K87" s="10" t="s">
        <v>542</v>
      </c>
      <c r="L87" s="398">
        <v>950.3174</v>
      </c>
      <c r="N87" s="277"/>
    </row>
    <row r="88" ht="16.35" spans="2:14">
      <c r="B88" s="473"/>
      <c r="C88" s="474"/>
      <c r="D88" s="414" t="s">
        <v>563</v>
      </c>
      <c r="E88" s="414" t="s">
        <v>564</v>
      </c>
      <c r="F88" s="415">
        <v>569.927693</v>
      </c>
      <c r="G88" s="475"/>
      <c r="H88" s="476"/>
      <c r="I88" s="497"/>
      <c r="J88" s="414" t="s">
        <v>84</v>
      </c>
      <c r="K88" s="414" t="s">
        <v>85</v>
      </c>
      <c r="L88" s="498">
        <v>859.745821</v>
      </c>
      <c r="N88" s="277"/>
    </row>
    <row r="89" ht="15.75" spans="2:14">
      <c r="B89" s="482"/>
      <c r="C89" s="479"/>
      <c r="D89" s="479"/>
      <c r="E89" s="479"/>
      <c r="F89" s="479"/>
      <c r="G89" s="480"/>
      <c r="H89" s="480"/>
      <c r="I89" s="480"/>
      <c r="J89" s="480"/>
      <c r="K89" s="480"/>
      <c r="L89" s="499"/>
      <c r="N89" s="277"/>
    </row>
    <row r="90" spans="2:14">
      <c r="B90" s="483" t="s">
        <v>212</v>
      </c>
      <c r="C90" s="410" t="s">
        <v>554</v>
      </c>
      <c r="D90" s="410" t="s">
        <v>112</v>
      </c>
      <c r="E90" s="410" t="s">
        <v>113</v>
      </c>
      <c r="F90" s="379">
        <v>7941.709114</v>
      </c>
      <c r="G90" s="467"/>
      <c r="H90" s="483" t="s">
        <v>206</v>
      </c>
      <c r="I90" s="410" t="s">
        <v>533</v>
      </c>
      <c r="J90" s="410" t="s">
        <v>64</v>
      </c>
      <c r="K90" s="410" t="s">
        <v>65</v>
      </c>
      <c r="L90" s="398">
        <v>66317.05132304</v>
      </c>
      <c r="N90" s="277"/>
    </row>
    <row r="91" spans="2:14">
      <c r="B91" s="469"/>
      <c r="C91" s="470"/>
      <c r="D91" s="10" t="s">
        <v>114</v>
      </c>
      <c r="E91" s="10" t="s">
        <v>115</v>
      </c>
      <c r="F91" s="385">
        <v>7866.686717</v>
      </c>
      <c r="G91" s="471"/>
      <c r="H91" s="484"/>
      <c r="I91" s="10"/>
      <c r="J91" s="10" t="s">
        <v>48</v>
      </c>
      <c r="K91" s="10" t="s">
        <v>49</v>
      </c>
      <c r="L91" s="398">
        <v>27562.91078843</v>
      </c>
      <c r="N91" s="277"/>
    </row>
    <row r="92" spans="2:14">
      <c r="B92" s="469"/>
      <c r="C92" s="470"/>
      <c r="D92" s="10" t="s">
        <v>128</v>
      </c>
      <c r="E92" s="10" t="s">
        <v>129</v>
      </c>
      <c r="F92" s="385">
        <v>1575.000043</v>
      </c>
      <c r="G92" s="471"/>
      <c r="H92" s="484"/>
      <c r="I92" s="10"/>
      <c r="J92" s="10" t="s">
        <v>72</v>
      </c>
      <c r="K92" s="10" t="s">
        <v>548</v>
      </c>
      <c r="L92" s="398">
        <v>19319.485265851</v>
      </c>
      <c r="N92" s="277"/>
    </row>
    <row r="93" spans="2:14">
      <c r="B93" s="469"/>
      <c r="C93" s="470"/>
      <c r="D93" s="10" t="s">
        <v>132</v>
      </c>
      <c r="E93" s="10" t="s">
        <v>133</v>
      </c>
      <c r="F93" s="385">
        <v>1567.194485</v>
      </c>
      <c r="G93" s="471"/>
      <c r="H93" s="484"/>
      <c r="I93" s="10"/>
      <c r="J93" s="10" t="s">
        <v>102</v>
      </c>
      <c r="K93" s="10" t="s">
        <v>103</v>
      </c>
      <c r="L93" s="398">
        <v>7282.78984</v>
      </c>
      <c r="N93" s="277"/>
    </row>
    <row r="94" ht="16.35" spans="2:14">
      <c r="B94" s="400"/>
      <c r="C94" s="413"/>
      <c r="D94" s="414" t="s">
        <v>139</v>
      </c>
      <c r="E94" s="414" t="s">
        <v>140</v>
      </c>
      <c r="F94" s="415">
        <v>315.580061</v>
      </c>
      <c r="G94" s="475"/>
      <c r="H94" s="485"/>
      <c r="I94" s="414"/>
      <c r="J94" s="414" t="s">
        <v>88</v>
      </c>
      <c r="K94" s="414" t="s">
        <v>89</v>
      </c>
      <c r="L94" s="500">
        <v>6632.30868553</v>
      </c>
      <c r="N94" s="277"/>
    </row>
    <row r="95" ht="16.35" spans="2:14">
      <c r="B95" s="416"/>
      <c r="C95" s="417"/>
      <c r="D95" s="417"/>
      <c r="E95" s="417"/>
      <c r="F95" s="417"/>
      <c r="G95" s="407"/>
      <c r="H95" s="407"/>
      <c r="I95" s="407"/>
      <c r="J95" s="407"/>
      <c r="K95" s="407"/>
      <c r="L95" s="449"/>
      <c r="N95" s="277"/>
    </row>
    <row r="96" spans="2:14">
      <c r="B96" s="375" t="s">
        <v>235</v>
      </c>
      <c r="C96" s="409" t="s">
        <v>565</v>
      </c>
      <c r="D96" s="410" t="s">
        <v>64</v>
      </c>
      <c r="E96" s="410" t="s">
        <v>65</v>
      </c>
      <c r="F96" s="379">
        <v>15041.907147</v>
      </c>
      <c r="G96" s="411"/>
      <c r="H96" s="483" t="s">
        <v>212</v>
      </c>
      <c r="I96" s="410" t="s">
        <v>554</v>
      </c>
      <c r="J96" s="410" t="s">
        <v>10</v>
      </c>
      <c r="K96" s="410" t="s">
        <v>11</v>
      </c>
      <c r="L96" s="398">
        <v>50548.24500048</v>
      </c>
      <c r="N96" s="277"/>
    </row>
    <row r="97" spans="2:14">
      <c r="B97" s="382"/>
      <c r="C97" s="12"/>
      <c r="D97" s="10" t="s">
        <v>42</v>
      </c>
      <c r="E97" s="10" t="s">
        <v>43</v>
      </c>
      <c r="F97" s="385">
        <v>43.298122</v>
      </c>
      <c r="G97" s="386"/>
      <c r="H97" s="484"/>
      <c r="I97" s="10"/>
      <c r="J97" s="10" t="s">
        <v>52</v>
      </c>
      <c r="K97" s="10" t="s">
        <v>53</v>
      </c>
      <c r="L97" s="398">
        <v>21660.53573332</v>
      </c>
      <c r="N97" s="277"/>
    </row>
    <row r="98" spans="2:14">
      <c r="B98" s="382"/>
      <c r="C98" s="12"/>
      <c r="D98" s="10">
        <v>8703221900</v>
      </c>
      <c r="E98" s="10" t="s">
        <v>566</v>
      </c>
      <c r="F98" s="385">
        <v>39.820102</v>
      </c>
      <c r="G98" s="386"/>
      <c r="H98" s="484"/>
      <c r="I98" s="10"/>
      <c r="J98" s="10" t="s">
        <v>96</v>
      </c>
      <c r="K98" s="10" t="s">
        <v>97</v>
      </c>
      <c r="L98" s="398">
        <v>8087.77229472</v>
      </c>
      <c r="N98" s="277"/>
    </row>
    <row r="99" spans="2:14">
      <c r="B99" s="382"/>
      <c r="C99" s="12"/>
      <c r="D99" s="10" t="s">
        <v>567</v>
      </c>
      <c r="E99" s="10" t="s">
        <v>568</v>
      </c>
      <c r="F99" s="385">
        <v>30.292508</v>
      </c>
      <c r="G99" s="386"/>
      <c r="H99" s="484"/>
      <c r="I99" s="10"/>
      <c r="J99" s="10" t="s">
        <v>98</v>
      </c>
      <c r="K99" s="10" t="s">
        <v>99</v>
      </c>
      <c r="L99" s="398">
        <v>7984.173202</v>
      </c>
      <c r="N99" s="277"/>
    </row>
    <row r="100" ht="16.35" spans="2:14">
      <c r="B100" s="400"/>
      <c r="C100" s="413"/>
      <c r="D100" s="414" t="s">
        <v>569</v>
      </c>
      <c r="E100" s="414" t="s">
        <v>570</v>
      </c>
      <c r="F100" s="486">
        <v>14.749549</v>
      </c>
      <c r="G100" s="404"/>
      <c r="H100" s="485"/>
      <c r="I100" s="414"/>
      <c r="J100" s="414" t="s">
        <v>84</v>
      </c>
      <c r="K100" s="414" t="s">
        <v>85</v>
      </c>
      <c r="L100" s="500">
        <v>4470.17742879</v>
      </c>
      <c r="N100" s="277"/>
    </row>
    <row r="101" ht="16.35" spans="2:14">
      <c r="B101" s="487"/>
      <c r="C101" s="407"/>
      <c r="D101" s="407"/>
      <c r="E101" s="407"/>
      <c r="F101" s="407"/>
      <c r="G101" s="407"/>
      <c r="H101" s="407"/>
      <c r="I101" s="407"/>
      <c r="J101" s="407"/>
      <c r="K101" s="407"/>
      <c r="L101" s="449"/>
      <c r="N101" s="277"/>
    </row>
    <row r="102" spans="2:14">
      <c r="B102" s="375" t="s">
        <v>237</v>
      </c>
      <c r="C102" s="409" t="s">
        <v>571</v>
      </c>
      <c r="D102" s="410" t="s">
        <v>116</v>
      </c>
      <c r="E102" s="410" t="s">
        <v>117</v>
      </c>
      <c r="F102" s="488">
        <v>3253.067313</v>
      </c>
      <c r="G102" s="380"/>
      <c r="H102" s="483" t="s">
        <v>216</v>
      </c>
      <c r="I102" s="410" t="s">
        <v>572</v>
      </c>
      <c r="J102" s="410" t="s">
        <v>72</v>
      </c>
      <c r="K102" s="410" t="s">
        <v>548</v>
      </c>
      <c r="L102" s="398">
        <v>29832.932783904</v>
      </c>
      <c r="N102" s="277"/>
    </row>
    <row r="103" spans="2:14">
      <c r="B103" s="382"/>
      <c r="C103" s="12"/>
      <c r="D103" s="10" t="s">
        <v>120</v>
      </c>
      <c r="E103" s="10" t="s">
        <v>121</v>
      </c>
      <c r="F103" s="489">
        <v>2244.17522</v>
      </c>
      <c r="G103" s="422"/>
      <c r="H103" s="484"/>
      <c r="I103" s="10"/>
      <c r="J103" s="10" t="s">
        <v>573</v>
      </c>
      <c r="K103" s="10" t="s">
        <v>574</v>
      </c>
      <c r="L103" s="398">
        <v>1203.466815</v>
      </c>
      <c r="N103" s="277"/>
    </row>
    <row r="104" spans="2:14">
      <c r="B104" s="382"/>
      <c r="C104" s="12"/>
      <c r="D104" s="10" t="s">
        <v>122</v>
      </c>
      <c r="E104" s="10" t="s">
        <v>123</v>
      </c>
      <c r="F104" s="489">
        <v>1435.216877</v>
      </c>
      <c r="G104" s="422"/>
      <c r="H104" s="484"/>
      <c r="I104" s="10"/>
      <c r="J104" s="10">
        <v>9406900000</v>
      </c>
      <c r="K104" s="10" t="s">
        <v>575</v>
      </c>
      <c r="L104" s="398">
        <v>410.29728689</v>
      </c>
      <c r="N104" s="277"/>
    </row>
    <row r="105" spans="2:14">
      <c r="B105" s="382"/>
      <c r="C105" s="12"/>
      <c r="D105" s="10" t="s">
        <v>576</v>
      </c>
      <c r="E105" s="10" t="s">
        <v>577</v>
      </c>
      <c r="F105" s="489">
        <v>1398.837535</v>
      </c>
      <c r="G105" s="422"/>
      <c r="H105" s="484"/>
      <c r="I105" s="10"/>
      <c r="J105" s="10" t="s">
        <v>578</v>
      </c>
      <c r="K105" s="10" t="s">
        <v>579</v>
      </c>
      <c r="L105" s="398">
        <v>213.483603</v>
      </c>
      <c r="N105" s="277"/>
    </row>
    <row r="106" ht="16.35" spans="2:14">
      <c r="B106" s="400"/>
      <c r="C106" s="413"/>
      <c r="D106" s="414" t="s">
        <v>580</v>
      </c>
      <c r="E106" s="414" t="s">
        <v>581</v>
      </c>
      <c r="F106" s="490">
        <v>1108.468674</v>
      </c>
      <c r="G106" s="423"/>
      <c r="H106" s="485"/>
      <c r="I106" s="414"/>
      <c r="J106" s="414" t="s">
        <v>582</v>
      </c>
      <c r="K106" s="414" t="s">
        <v>583</v>
      </c>
      <c r="L106" s="498">
        <v>179.00681295</v>
      </c>
      <c r="N106" s="277"/>
    </row>
    <row r="107" ht="16.35" spans="2:14">
      <c r="B107" s="487"/>
      <c r="C107" s="407"/>
      <c r="D107" s="407"/>
      <c r="E107" s="407"/>
      <c r="F107" s="407"/>
      <c r="G107" s="407"/>
      <c r="H107" s="407"/>
      <c r="I107" s="407"/>
      <c r="J107" s="407"/>
      <c r="K107" s="407"/>
      <c r="L107" s="501"/>
      <c r="N107" s="277"/>
    </row>
    <row r="108" spans="14:14">
      <c r="N108" s="277"/>
    </row>
    <row r="109" spans="14:14">
      <c r="N109" s="277"/>
    </row>
    <row r="110" spans="14:14">
      <c r="N110" s="277"/>
    </row>
    <row r="111" spans="14:14">
      <c r="N111" s="277"/>
    </row>
    <row r="112" spans="14:14">
      <c r="N112" s="277"/>
    </row>
    <row r="113" spans="14:14">
      <c r="N113" s="277"/>
    </row>
    <row r="114" spans="14:14">
      <c r="N114" s="277"/>
    </row>
    <row r="115" spans="14:14">
      <c r="N115" s="277"/>
    </row>
    <row r="116" spans="14:14">
      <c r="N116" s="277"/>
    </row>
    <row r="117" spans="14:14">
      <c r="N117" s="277"/>
    </row>
    <row r="118" spans="14:14">
      <c r="N118" s="277"/>
    </row>
    <row r="119" spans="14:14">
      <c r="N119" s="277"/>
    </row>
    <row r="120" spans="14:14">
      <c r="N120" s="277"/>
    </row>
    <row r="121" spans="14:14">
      <c r="N121" s="277"/>
    </row>
    <row r="122" spans="14:14">
      <c r="N122" s="277"/>
    </row>
    <row r="123" spans="14:14">
      <c r="N123" s="277"/>
    </row>
  </sheetData>
  <mergeCells count="31">
    <mergeCell ref="B4:F4"/>
    <mergeCell ref="H4:L4"/>
    <mergeCell ref="B35:L35"/>
    <mergeCell ref="B40:F40"/>
    <mergeCell ref="H40:L40"/>
    <mergeCell ref="B47:L47"/>
    <mergeCell ref="B53:L53"/>
    <mergeCell ref="B59:L59"/>
    <mergeCell ref="B65:L65"/>
    <mergeCell ref="B71:L71"/>
    <mergeCell ref="B76:F76"/>
    <mergeCell ref="H76:L76"/>
    <mergeCell ref="B83:L83"/>
    <mergeCell ref="B89:L89"/>
    <mergeCell ref="B95:L95"/>
    <mergeCell ref="B101:L101"/>
    <mergeCell ref="B107:L107"/>
    <mergeCell ref="G6:G34"/>
    <mergeCell ref="G42:G46"/>
    <mergeCell ref="G48:G52"/>
    <mergeCell ref="G54:G58"/>
    <mergeCell ref="G60:G64"/>
    <mergeCell ref="G66:G70"/>
    <mergeCell ref="G78:G82"/>
    <mergeCell ref="G84:G88"/>
    <mergeCell ref="G90:G94"/>
    <mergeCell ref="G96:G100"/>
    <mergeCell ref="G102:G106"/>
    <mergeCell ref="B2:L3"/>
    <mergeCell ref="B38:L39"/>
    <mergeCell ref="B74:L7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zoomScale="70" zoomScaleNormal="70" workbookViewId="0">
      <pane ySplit="4" topLeftCell="A19" activePane="bottomLeft" state="frozen"/>
      <selection/>
      <selection pane="bottomLeft" activeCell="K24" sqref="K24"/>
    </sheetView>
  </sheetViews>
  <sheetFormatPr defaultColWidth="9.17592592592593" defaultRowHeight="21"/>
  <cols>
    <col min="1" max="1" width="8" style="325" customWidth="1"/>
    <col min="2" max="2" width="12.7222222222222" style="326" customWidth="1"/>
    <col min="3" max="3" width="22.4537037037037" style="327" customWidth="1"/>
    <col min="4" max="12" width="17.1759259259259" style="327" customWidth="1"/>
    <col min="13" max="13" width="17.1759259259259" style="325" customWidth="1"/>
    <col min="14" max="14" width="22.4537037037037" style="326" customWidth="1"/>
    <col min="15" max="15" width="13.8148148148148" customWidth="1"/>
  </cols>
  <sheetData>
    <row r="1" spans="3:13"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</row>
    <row r="2" spans="3:12">
      <c r="C2" s="329"/>
      <c r="D2" s="329"/>
      <c r="E2" s="329"/>
      <c r="F2" s="329"/>
      <c r="G2" s="329"/>
      <c r="H2" s="329"/>
      <c r="I2" s="329"/>
      <c r="J2" s="329"/>
      <c r="K2" s="329"/>
      <c r="L2" s="329"/>
    </row>
    <row r="3" spans="1:13">
      <c r="A3" s="330" t="s">
        <v>584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45"/>
    </row>
    <row r="4" ht="70.5" customHeight="1" spans="1:14">
      <c r="A4" s="332"/>
      <c r="B4" s="333"/>
      <c r="C4" s="334" t="s">
        <v>585</v>
      </c>
      <c r="D4" s="334" t="s">
        <v>586</v>
      </c>
      <c r="E4" s="334" t="s">
        <v>587</v>
      </c>
      <c r="F4" s="334" t="s">
        <v>588</v>
      </c>
      <c r="G4" s="334" t="s">
        <v>589</v>
      </c>
      <c r="H4" s="334" t="s">
        <v>590</v>
      </c>
      <c r="I4" s="334" t="s">
        <v>591</v>
      </c>
      <c r="J4" s="334" t="s">
        <v>592</v>
      </c>
      <c r="K4" s="334" t="s">
        <v>593</v>
      </c>
      <c r="L4" s="334" t="s">
        <v>594</v>
      </c>
      <c r="M4" s="334" t="s">
        <v>425</v>
      </c>
      <c r="N4" s="346"/>
    </row>
    <row r="5" ht="18" customHeight="1" spans="1:14">
      <c r="A5" s="240">
        <v>2020</v>
      </c>
      <c r="B5" s="239" t="s">
        <v>368</v>
      </c>
      <c r="C5" s="303">
        <v>1685181.229068</v>
      </c>
      <c r="D5" s="303">
        <v>56148.411868</v>
      </c>
      <c r="E5" s="303">
        <v>161277.661645</v>
      </c>
      <c r="F5" s="303">
        <v>2895774.94723</v>
      </c>
      <c r="G5" s="303">
        <v>120216.559547</v>
      </c>
      <c r="H5" s="303">
        <v>2013771.731769</v>
      </c>
      <c r="I5" s="303">
        <v>1121645.66003</v>
      </c>
      <c r="J5" s="303">
        <v>4157705.570431</v>
      </c>
      <c r="K5" s="303">
        <v>489221.457018</v>
      </c>
      <c r="L5" s="303">
        <v>0.57922</v>
      </c>
      <c r="M5" s="303">
        <v>12700943.807826</v>
      </c>
      <c r="N5" s="347"/>
    </row>
    <row r="6" ht="18" customHeight="1" spans="1:14">
      <c r="A6" s="240">
        <v>2021</v>
      </c>
      <c r="B6" s="239" t="s">
        <v>368</v>
      </c>
      <c r="C6" s="303">
        <v>2654288.57782</v>
      </c>
      <c r="D6" s="303">
        <v>79417.136318</v>
      </c>
      <c r="E6" s="303">
        <v>241863.537424</v>
      </c>
      <c r="F6" s="303">
        <v>6459879.29035192</v>
      </c>
      <c r="G6" s="303">
        <v>217299.212929</v>
      </c>
      <c r="H6" s="303">
        <v>2865388.020472</v>
      </c>
      <c r="I6" s="303">
        <v>1760883.370186</v>
      </c>
      <c r="J6" s="303">
        <v>5725182.794068</v>
      </c>
      <c r="K6" s="303">
        <v>839748.769132</v>
      </c>
      <c r="L6" s="303">
        <v>14.243761</v>
      </c>
      <c r="M6" s="303">
        <v>20843964.9524619</v>
      </c>
      <c r="N6" s="347"/>
    </row>
    <row r="7" ht="18" customHeight="1" spans="1:14">
      <c r="A7" s="240">
        <v>2022</v>
      </c>
      <c r="B7" s="239" t="s">
        <v>368</v>
      </c>
      <c r="C7" s="303">
        <v>2626983.436005</v>
      </c>
      <c r="D7" s="303">
        <v>112970.855869</v>
      </c>
      <c r="E7" s="303">
        <v>324298.331019</v>
      </c>
      <c r="F7" s="303">
        <v>10124044.1652865</v>
      </c>
      <c r="G7" s="303">
        <v>164152.716232</v>
      </c>
      <c r="H7" s="303">
        <v>3281330.582127</v>
      </c>
      <c r="I7" s="303">
        <v>1929388.800314</v>
      </c>
      <c r="J7" s="303">
        <v>5930881.77079</v>
      </c>
      <c r="K7" s="303">
        <v>1096327.61528</v>
      </c>
      <c r="L7" s="303">
        <v>169.136545</v>
      </c>
      <c r="M7" s="303">
        <v>25590547.4094675</v>
      </c>
      <c r="N7" s="347"/>
    </row>
    <row r="8" s="176" customFormat="1" ht="18" customHeight="1" spans="1:14">
      <c r="A8" s="240">
        <v>2023</v>
      </c>
      <c r="B8" s="239" t="s">
        <v>368</v>
      </c>
      <c r="C8" s="335">
        <v>3508041.233208</v>
      </c>
      <c r="D8" s="335">
        <v>127276.747356</v>
      </c>
      <c r="E8" s="335">
        <v>416554.544795</v>
      </c>
      <c r="F8" s="335">
        <v>12004120.4379956</v>
      </c>
      <c r="G8" s="335">
        <v>232670.885711</v>
      </c>
      <c r="H8" s="335">
        <v>3454453.473129</v>
      </c>
      <c r="I8" s="335">
        <v>2274401.722757</v>
      </c>
      <c r="J8" s="335">
        <v>7773509.683396</v>
      </c>
      <c r="K8" s="335">
        <v>1072014.17180074</v>
      </c>
      <c r="L8" s="335">
        <v>22.636042</v>
      </c>
      <c r="M8" s="335">
        <v>30863065.5361904</v>
      </c>
      <c r="N8" s="347"/>
    </row>
    <row r="9" spans="1:15">
      <c r="A9" s="240">
        <v>2024</v>
      </c>
      <c r="B9" s="239" t="s">
        <v>368</v>
      </c>
      <c r="C9" s="335">
        <v>6130304.983903</v>
      </c>
      <c r="D9" s="335">
        <v>208975.667625</v>
      </c>
      <c r="E9" s="335">
        <v>913098.686692</v>
      </c>
      <c r="F9" s="335">
        <v>22998583.8686318</v>
      </c>
      <c r="G9" s="335">
        <v>418146.017231</v>
      </c>
      <c r="H9" s="335">
        <v>8255089.796125</v>
      </c>
      <c r="I9" s="335">
        <v>5008590.765378</v>
      </c>
      <c r="J9" s="335">
        <v>14339624.269067</v>
      </c>
      <c r="K9" s="335">
        <v>2317821.22851</v>
      </c>
      <c r="L9" s="335">
        <v>313.559491</v>
      </c>
      <c r="M9" s="335">
        <v>60590548.8426538</v>
      </c>
      <c r="N9" s="347"/>
      <c r="O9" s="89"/>
    </row>
    <row r="10" spans="1:15">
      <c r="A10" s="240">
        <v>2025</v>
      </c>
      <c r="B10" s="185" t="s">
        <v>374</v>
      </c>
      <c r="C10" s="336">
        <v>1547085.748517</v>
      </c>
      <c r="D10" s="336">
        <v>62926.873701</v>
      </c>
      <c r="E10" s="336">
        <v>361209.502775</v>
      </c>
      <c r="F10" s="336">
        <v>4972417.51363662</v>
      </c>
      <c r="G10" s="336">
        <v>98351.37545</v>
      </c>
      <c r="H10" s="336">
        <v>2231142.06821</v>
      </c>
      <c r="I10" s="336">
        <v>1561586.356587</v>
      </c>
      <c r="J10" s="336">
        <v>4058539.405635</v>
      </c>
      <c r="K10" s="336">
        <v>532892.290721</v>
      </c>
      <c r="L10" s="336">
        <v>23.609811</v>
      </c>
      <c r="M10" s="336">
        <v>15426174.7450436</v>
      </c>
      <c r="N10" s="347"/>
      <c r="O10" s="52"/>
    </row>
    <row r="11" ht="18" customHeight="1" spans="1:15">
      <c r="A11" s="240">
        <v>2020</v>
      </c>
      <c r="B11" s="337" t="s">
        <v>375</v>
      </c>
      <c r="C11" s="338">
        <v>384814.858521</v>
      </c>
      <c r="D11" s="338">
        <v>9817.553576</v>
      </c>
      <c r="E11" s="338">
        <v>43331.988598</v>
      </c>
      <c r="F11" s="338">
        <v>1164133.799757</v>
      </c>
      <c r="G11" s="338">
        <v>29072.6915</v>
      </c>
      <c r="H11" s="338">
        <v>394404.364104</v>
      </c>
      <c r="I11" s="338">
        <v>310574.688607</v>
      </c>
      <c r="J11" s="338">
        <v>1108233.204263</v>
      </c>
      <c r="K11" s="338">
        <v>132184.704506</v>
      </c>
      <c r="L11" s="338">
        <v>0</v>
      </c>
      <c r="M11" s="303">
        <v>3576567.853432</v>
      </c>
      <c r="N11" s="348"/>
      <c r="O11" s="52"/>
    </row>
    <row r="12" ht="18" customHeight="1" spans="1:15">
      <c r="A12" s="231"/>
      <c r="B12" s="337" t="s">
        <v>376</v>
      </c>
      <c r="C12" s="338">
        <v>364894.983458</v>
      </c>
      <c r="D12" s="338">
        <v>15643.079644</v>
      </c>
      <c r="E12" s="338">
        <v>35197.062734</v>
      </c>
      <c r="F12" s="338">
        <v>294679.70487</v>
      </c>
      <c r="G12" s="338">
        <v>25855.04365</v>
      </c>
      <c r="H12" s="338">
        <v>439584.900061</v>
      </c>
      <c r="I12" s="338">
        <v>272672.064054</v>
      </c>
      <c r="J12" s="338">
        <v>883821.661691</v>
      </c>
      <c r="K12" s="338">
        <v>100883.396932</v>
      </c>
      <c r="L12" s="338">
        <v>0.180042</v>
      </c>
      <c r="M12" s="303">
        <v>2433232.077136</v>
      </c>
      <c r="N12" s="348"/>
      <c r="O12" s="52"/>
    </row>
    <row r="13" ht="18" customHeight="1" spans="1:15">
      <c r="A13" s="231"/>
      <c r="B13" s="337" t="s">
        <v>377</v>
      </c>
      <c r="C13" s="338">
        <v>475505.510844</v>
      </c>
      <c r="D13" s="338">
        <v>14121.619177</v>
      </c>
      <c r="E13" s="338">
        <v>41953.195663</v>
      </c>
      <c r="F13" s="338">
        <v>664394.523008</v>
      </c>
      <c r="G13" s="338">
        <v>33483.953995</v>
      </c>
      <c r="H13" s="338">
        <v>511773.090761</v>
      </c>
      <c r="I13" s="338">
        <v>277284.408603</v>
      </c>
      <c r="J13" s="338">
        <v>1038020.453848</v>
      </c>
      <c r="K13" s="338">
        <v>128055.573929</v>
      </c>
      <c r="L13" s="338">
        <v>0.399178</v>
      </c>
      <c r="M13" s="303">
        <v>3184592.729006</v>
      </c>
      <c r="N13" s="348"/>
      <c r="O13" s="52"/>
    </row>
    <row r="14" ht="18" customHeight="1" spans="1:15">
      <c r="A14" s="339"/>
      <c r="B14" s="239" t="s">
        <v>378</v>
      </c>
      <c r="C14" s="340">
        <v>459965.876245</v>
      </c>
      <c r="D14" s="340">
        <v>16566.159471</v>
      </c>
      <c r="E14" s="340">
        <v>40795.41465</v>
      </c>
      <c r="F14" s="340">
        <v>772566.919595</v>
      </c>
      <c r="G14" s="340">
        <v>31804.870402</v>
      </c>
      <c r="H14" s="340">
        <v>668009.376843</v>
      </c>
      <c r="I14" s="340">
        <v>261114.498766</v>
      </c>
      <c r="J14" s="340">
        <v>1127630.250629</v>
      </c>
      <c r="K14" s="340">
        <v>128097.781651</v>
      </c>
      <c r="L14" s="340">
        <v>0</v>
      </c>
      <c r="M14" s="303">
        <v>3506551.148252</v>
      </c>
      <c r="N14" s="223"/>
      <c r="O14" s="52"/>
    </row>
    <row r="15" ht="18" customHeight="1" spans="1:15">
      <c r="A15" s="231">
        <v>2021</v>
      </c>
      <c r="B15" s="239" t="s">
        <v>375</v>
      </c>
      <c r="C15" s="340">
        <v>546637.098289</v>
      </c>
      <c r="D15" s="340">
        <v>15015.273631</v>
      </c>
      <c r="E15" s="340">
        <v>47949.635834</v>
      </c>
      <c r="F15" s="340">
        <v>1700307.85352892</v>
      </c>
      <c r="G15" s="340">
        <v>45843.647382</v>
      </c>
      <c r="H15" s="340">
        <v>663089.372775</v>
      </c>
      <c r="I15" s="340">
        <v>339015.830653</v>
      </c>
      <c r="J15" s="340">
        <v>1287200.10604</v>
      </c>
      <c r="K15" s="340">
        <v>230128.85905</v>
      </c>
      <c r="L15" s="340">
        <v>0.171858</v>
      </c>
      <c r="M15" s="303">
        <v>4875187.84904092</v>
      </c>
      <c r="N15" s="223"/>
      <c r="O15" s="52"/>
    </row>
    <row r="16" ht="18" customHeight="1" spans="1:15">
      <c r="A16" s="231"/>
      <c r="B16" s="239" t="s">
        <v>376</v>
      </c>
      <c r="C16" s="340">
        <v>593545.70957</v>
      </c>
      <c r="D16" s="340">
        <v>19579.078703</v>
      </c>
      <c r="E16" s="340">
        <v>60286.358169</v>
      </c>
      <c r="F16" s="340">
        <v>1363118.829334</v>
      </c>
      <c r="G16" s="340">
        <v>34382.355043</v>
      </c>
      <c r="H16" s="340">
        <v>695671.541132</v>
      </c>
      <c r="I16" s="340">
        <v>434611.708689</v>
      </c>
      <c r="J16" s="340">
        <v>1344085.333452</v>
      </c>
      <c r="K16" s="340">
        <v>147052.962725</v>
      </c>
      <c r="L16" s="340">
        <v>0.447611</v>
      </c>
      <c r="M16" s="303">
        <v>4692334.324428</v>
      </c>
      <c r="N16" s="223"/>
      <c r="O16" s="52"/>
    </row>
    <row r="17" ht="18" customHeight="1" spans="1:15">
      <c r="A17" s="231"/>
      <c r="B17" s="239" t="s">
        <v>377</v>
      </c>
      <c r="C17" s="340">
        <v>715592.693144</v>
      </c>
      <c r="D17" s="340">
        <v>21067.388233</v>
      </c>
      <c r="E17" s="340">
        <v>64015.130157</v>
      </c>
      <c r="F17" s="340">
        <v>1696318.263185</v>
      </c>
      <c r="G17" s="340">
        <v>43485.946682</v>
      </c>
      <c r="H17" s="340">
        <v>732955.458843</v>
      </c>
      <c r="I17" s="340">
        <v>412865.618977</v>
      </c>
      <c r="J17" s="340">
        <v>1454237.704944</v>
      </c>
      <c r="K17" s="340">
        <v>195322.993019</v>
      </c>
      <c r="L17" s="340">
        <v>0.106321</v>
      </c>
      <c r="M17" s="303">
        <v>5335861.303505</v>
      </c>
      <c r="N17" s="223"/>
      <c r="O17" s="52"/>
    </row>
    <row r="18" ht="18" customHeight="1" spans="1:15">
      <c r="A18" s="231"/>
      <c r="B18" s="239" t="s">
        <v>378</v>
      </c>
      <c r="C18" s="340">
        <v>798513.076817</v>
      </c>
      <c r="D18" s="340">
        <v>23755.395751</v>
      </c>
      <c r="E18" s="340">
        <v>69612.413264</v>
      </c>
      <c r="F18" s="340">
        <v>1700134.344304</v>
      </c>
      <c r="G18" s="340">
        <v>93587.263822</v>
      </c>
      <c r="H18" s="340">
        <v>773671.647722</v>
      </c>
      <c r="I18" s="340">
        <v>574390.211867</v>
      </c>
      <c r="J18" s="340">
        <v>1639659.649632</v>
      </c>
      <c r="K18" s="340">
        <v>267243.954338</v>
      </c>
      <c r="L18" s="340">
        <v>13.517971</v>
      </c>
      <c r="M18" s="303">
        <v>5940581.475488</v>
      </c>
      <c r="N18" s="223"/>
      <c r="O18" s="52"/>
    </row>
    <row r="19" ht="18" customHeight="1" spans="1:15">
      <c r="A19" s="231">
        <v>2022</v>
      </c>
      <c r="B19" s="239" t="s">
        <v>375</v>
      </c>
      <c r="C19" s="340">
        <v>636931.089366</v>
      </c>
      <c r="D19" s="340">
        <v>28249.851449</v>
      </c>
      <c r="E19" s="340">
        <v>83276.358071</v>
      </c>
      <c r="F19" s="340">
        <v>3503055.81410354</v>
      </c>
      <c r="G19" s="340">
        <v>27080.591846</v>
      </c>
      <c r="H19" s="340">
        <v>812889.616378</v>
      </c>
      <c r="I19" s="340">
        <v>470713.45033</v>
      </c>
      <c r="J19" s="340">
        <v>1654963.667308</v>
      </c>
      <c r="K19" s="340">
        <v>278492.261941</v>
      </c>
      <c r="L19" s="340">
        <v>20.818759</v>
      </c>
      <c r="M19" s="340">
        <v>5900825.85442884</v>
      </c>
      <c r="N19" s="223"/>
      <c r="O19" s="52"/>
    </row>
    <row r="20" ht="18" customHeight="1" spans="1:15">
      <c r="A20" s="231"/>
      <c r="B20" s="239" t="s">
        <v>376</v>
      </c>
      <c r="C20" s="340">
        <v>686474.628749</v>
      </c>
      <c r="D20" s="340">
        <v>33522.00759</v>
      </c>
      <c r="E20" s="340">
        <v>77622.965341</v>
      </c>
      <c r="F20" s="340">
        <v>2440501.20117522</v>
      </c>
      <c r="G20" s="340">
        <v>28126.487308</v>
      </c>
      <c r="H20" s="340">
        <v>940561.985445</v>
      </c>
      <c r="I20" s="340">
        <v>466079.263189</v>
      </c>
      <c r="J20" s="340">
        <v>1468936.047927</v>
      </c>
      <c r="K20" s="340">
        <v>246688.494168</v>
      </c>
      <c r="L20" s="340">
        <v>1.08694</v>
      </c>
      <c r="M20" s="340">
        <v>5434945.339498</v>
      </c>
      <c r="N20" s="223"/>
      <c r="O20" s="52"/>
    </row>
    <row r="21" ht="18" customHeight="1" spans="1:15">
      <c r="A21" s="231"/>
      <c r="B21" s="239" t="s">
        <v>377</v>
      </c>
      <c r="C21" s="340">
        <v>694313.445457</v>
      </c>
      <c r="D21" s="340">
        <v>24884.215791</v>
      </c>
      <c r="E21" s="340">
        <v>91852.90325</v>
      </c>
      <c r="F21" s="340">
        <v>2302615.63006599</v>
      </c>
      <c r="G21" s="340">
        <v>41575.941545</v>
      </c>
      <c r="H21" s="340">
        <v>833199.610577</v>
      </c>
      <c r="I21" s="340">
        <v>531427.235413</v>
      </c>
      <c r="J21" s="340">
        <v>1523038.696825</v>
      </c>
      <c r="K21" s="340">
        <v>300581.934735</v>
      </c>
      <c r="L21" s="340">
        <v>42.162897</v>
      </c>
      <c r="M21" s="303">
        <v>6343531.77655599</v>
      </c>
      <c r="N21" s="223"/>
      <c r="O21" s="52"/>
    </row>
    <row r="22" ht="18" customHeight="1" spans="1:15">
      <c r="A22" s="231"/>
      <c r="B22" s="239" t="s">
        <v>378</v>
      </c>
      <c r="C22" s="340">
        <v>609264.272433</v>
      </c>
      <c r="D22" s="340">
        <v>26314.781039</v>
      </c>
      <c r="E22" s="340">
        <v>71546.104357</v>
      </c>
      <c r="F22" s="340">
        <v>1877871.51994178</v>
      </c>
      <c r="G22" s="340">
        <v>67369.695533</v>
      </c>
      <c r="H22" s="340">
        <v>694679.369727</v>
      </c>
      <c r="I22" s="340">
        <v>461168.851382</v>
      </c>
      <c r="J22" s="340">
        <v>1283943.35873</v>
      </c>
      <c r="K22" s="340">
        <v>270564.924436</v>
      </c>
      <c r="L22" s="340">
        <v>105.067949</v>
      </c>
      <c r="M22" s="340">
        <v>5362827.94552778</v>
      </c>
      <c r="N22" s="223"/>
      <c r="O22" s="52"/>
    </row>
    <row r="23" ht="18" customHeight="1" spans="1:15">
      <c r="A23" s="231">
        <v>2023</v>
      </c>
      <c r="B23" s="129" t="s">
        <v>375</v>
      </c>
      <c r="C23" s="335">
        <v>675216.156627</v>
      </c>
      <c r="D23" s="335">
        <v>27938.687419</v>
      </c>
      <c r="E23" s="335">
        <v>83628.989773</v>
      </c>
      <c r="F23" s="335">
        <v>2999173.48120516</v>
      </c>
      <c r="G23" s="335">
        <v>44499.998137</v>
      </c>
      <c r="H23" s="335">
        <v>630980.527342</v>
      </c>
      <c r="I23" s="335">
        <v>394576.884255</v>
      </c>
      <c r="J23" s="335">
        <v>1266742.320736</v>
      </c>
      <c r="K23" s="335">
        <v>343325.397509</v>
      </c>
      <c r="L23" s="335">
        <v>19.94167</v>
      </c>
      <c r="M23" s="335">
        <v>6466102.38467316</v>
      </c>
      <c r="N23" s="223"/>
      <c r="O23" s="52"/>
    </row>
    <row r="24" ht="18" customHeight="1" spans="1:15">
      <c r="A24" s="231"/>
      <c r="B24" s="129" t="s">
        <v>376</v>
      </c>
      <c r="C24" s="335">
        <v>662382.69284</v>
      </c>
      <c r="D24" s="335">
        <v>22626.011944</v>
      </c>
      <c r="E24" s="335">
        <v>71917.232262</v>
      </c>
      <c r="F24" s="335">
        <v>2227122.84578086</v>
      </c>
      <c r="G24" s="335">
        <v>59332.905515</v>
      </c>
      <c r="H24" s="335">
        <v>648796.179779</v>
      </c>
      <c r="I24" s="335">
        <v>434010.348709</v>
      </c>
      <c r="J24" s="335">
        <v>1985449.20308</v>
      </c>
      <c r="K24" s="335">
        <v>190311.335798</v>
      </c>
      <c r="L24" s="335">
        <v>0</v>
      </c>
      <c r="M24" s="335">
        <v>6301948.75570786</v>
      </c>
      <c r="N24" s="223"/>
      <c r="O24" s="52"/>
    </row>
    <row r="25" ht="18" customHeight="1" spans="1:15">
      <c r="A25" s="231"/>
      <c r="B25" s="129" t="s">
        <v>377</v>
      </c>
      <c r="C25" s="335">
        <v>1040065.768422</v>
      </c>
      <c r="D25" s="335">
        <v>31842.238137</v>
      </c>
      <c r="E25" s="335">
        <v>127899.466107</v>
      </c>
      <c r="F25" s="335">
        <v>3435233.22348102</v>
      </c>
      <c r="G25" s="335">
        <v>64441.100681</v>
      </c>
      <c r="H25" s="335">
        <v>1070199.767954</v>
      </c>
      <c r="I25" s="335">
        <v>696252.132222</v>
      </c>
      <c r="J25" s="335">
        <v>2309890.991435</v>
      </c>
      <c r="K25" s="335">
        <v>265412.363529</v>
      </c>
      <c r="L25" s="335">
        <v>0.047439</v>
      </c>
      <c r="M25" s="335">
        <v>9041237.09940702</v>
      </c>
      <c r="N25" s="223"/>
      <c r="O25" s="52"/>
    </row>
    <row r="26" ht="18" customHeight="1" spans="1:15">
      <c r="A26" s="231"/>
      <c r="B26" s="129" t="s">
        <v>378</v>
      </c>
      <c r="C26" s="335">
        <v>1130376.615319</v>
      </c>
      <c r="D26" s="335">
        <v>44869.809856</v>
      </c>
      <c r="E26" s="335">
        <v>133108.856653</v>
      </c>
      <c r="F26" s="335">
        <v>3342590.88752859</v>
      </c>
      <c r="G26" s="335">
        <v>64396.881378</v>
      </c>
      <c r="H26" s="335">
        <v>1104476.998054</v>
      </c>
      <c r="I26" s="335">
        <v>749562.357571</v>
      </c>
      <c r="J26" s="335">
        <v>2211427.168145</v>
      </c>
      <c r="K26" s="335">
        <v>272965.07496474</v>
      </c>
      <c r="L26" s="335">
        <v>2.646933</v>
      </c>
      <c r="M26" s="335">
        <v>9053777.29640233</v>
      </c>
      <c r="N26" s="223"/>
      <c r="O26" s="52"/>
    </row>
    <row r="27" ht="15.6" spans="1:15">
      <c r="A27" s="231">
        <v>2024</v>
      </c>
      <c r="B27" s="129" t="s">
        <v>375</v>
      </c>
      <c r="C27" s="335">
        <v>1501901.555334</v>
      </c>
      <c r="D27" s="335">
        <v>50158.20308</v>
      </c>
      <c r="E27" s="335">
        <v>193333.975935</v>
      </c>
      <c r="F27" s="335">
        <v>6542882.71550865</v>
      </c>
      <c r="G27" s="335">
        <v>73443.604445</v>
      </c>
      <c r="H27" s="335">
        <v>1786425.43718</v>
      </c>
      <c r="I27" s="335">
        <v>1093760.23389</v>
      </c>
      <c r="J27" s="335">
        <v>3170349.097904</v>
      </c>
      <c r="K27" s="335">
        <v>337268.46385</v>
      </c>
      <c r="L27" s="335">
        <v>0.862369</v>
      </c>
      <c r="M27" s="335">
        <v>14749524.1494957</v>
      </c>
      <c r="N27" s="223"/>
      <c r="O27" s="89"/>
    </row>
    <row r="28" s="176" customFormat="1" ht="18" customHeight="1" spans="1:15">
      <c r="A28" s="231"/>
      <c r="B28" s="129" t="s">
        <v>376</v>
      </c>
      <c r="C28" s="335">
        <v>1424967.85046</v>
      </c>
      <c r="D28" s="335">
        <v>42958.632166</v>
      </c>
      <c r="E28" s="335">
        <v>249542.200845</v>
      </c>
      <c r="F28" s="335">
        <v>5910995.15751876</v>
      </c>
      <c r="G28" s="335">
        <v>70307.914483</v>
      </c>
      <c r="H28" s="335">
        <v>1886503.956889</v>
      </c>
      <c r="I28" s="335">
        <v>1131228.854351</v>
      </c>
      <c r="J28" s="335">
        <v>2878693.05283</v>
      </c>
      <c r="K28" s="335">
        <v>374103.648186</v>
      </c>
      <c r="L28" s="335">
        <v>40.056032</v>
      </c>
      <c r="M28" s="335">
        <v>13969341.3237608</v>
      </c>
      <c r="N28" s="223"/>
      <c r="O28" s="89"/>
    </row>
    <row r="29" s="176" customFormat="1" ht="15.6" spans="1:15">
      <c r="A29" s="231"/>
      <c r="B29" s="129" t="s">
        <v>377</v>
      </c>
      <c r="C29" s="335">
        <v>1488025.278872</v>
      </c>
      <c r="D29" s="335">
        <v>56355.700071</v>
      </c>
      <c r="E29" s="335">
        <v>204392.928919</v>
      </c>
      <c r="F29" s="335">
        <v>5747232.86252359</v>
      </c>
      <c r="G29" s="335">
        <v>85323.04672</v>
      </c>
      <c r="H29" s="335">
        <v>1973012.336412</v>
      </c>
      <c r="I29" s="335">
        <v>1322688.445235</v>
      </c>
      <c r="J29" s="335">
        <v>3782185.937391</v>
      </c>
      <c r="K29" s="335">
        <v>621764.341459</v>
      </c>
      <c r="L29" s="335">
        <v>196.959279</v>
      </c>
      <c r="M29" s="335">
        <v>15281177.8368816</v>
      </c>
      <c r="N29" s="223"/>
      <c r="O29" s="260"/>
    </row>
    <row r="30" s="176" customFormat="1" ht="15.6" spans="1:15">
      <c r="A30" s="231"/>
      <c r="B30" s="129" t="s">
        <v>378</v>
      </c>
      <c r="C30" s="335">
        <v>1715410.299237</v>
      </c>
      <c r="D30" s="335">
        <v>59503.132308</v>
      </c>
      <c r="E30" s="335">
        <v>265829.580993</v>
      </c>
      <c r="F30" s="335">
        <v>4797473.13308079</v>
      </c>
      <c r="G30" s="335">
        <v>189071.451583</v>
      </c>
      <c r="H30" s="335">
        <v>2609148.065644</v>
      </c>
      <c r="I30" s="335">
        <v>1460913.231902</v>
      </c>
      <c r="J30" s="335">
        <v>4508396.180942</v>
      </c>
      <c r="K30" s="335">
        <v>984684.775015</v>
      </c>
      <c r="L30" s="335">
        <v>75.681811</v>
      </c>
      <c r="M30" s="335">
        <v>16590505.5325158</v>
      </c>
      <c r="N30" s="223"/>
      <c r="O30" s="260"/>
    </row>
    <row r="31" s="176" customFormat="1" ht="15.6" spans="1:15">
      <c r="A31" s="231">
        <v>2025</v>
      </c>
      <c r="B31" s="130" t="s">
        <v>375</v>
      </c>
      <c r="C31" s="336">
        <v>1547085.748517</v>
      </c>
      <c r="D31" s="336">
        <v>62926.873701</v>
      </c>
      <c r="E31" s="336">
        <v>361209.502775</v>
      </c>
      <c r="F31" s="336">
        <v>4972417.51363662</v>
      </c>
      <c r="G31" s="336">
        <v>98351.37545</v>
      </c>
      <c r="H31" s="336">
        <v>2231142.06821</v>
      </c>
      <c r="I31" s="336">
        <v>1561586.356587</v>
      </c>
      <c r="J31" s="336">
        <v>4058539.405635</v>
      </c>
      <c r="K31" s="336">
        <v>532892.290721</v>
      </c>
      <c r="L31" s="336">
        <v>23.609811</v>
      </c>
      <c r="M31" s="349">
        <v>15426174.7450436</v>
      </c>
      <c r="N31" s="223"/>
      <c r="O31" s="259"/>
    </row>
    <row r="32" spans="1:14">
      <c r="A32" s="240">
        <v>2020</v>
      </c>
      <c r="B32" s="341" t="s">
        <v>379</v>
      </c>
      <c r="C32" s="335">
        <v>131713.808448</v>
      </c>
      <c r="D32" s="335">
        <v>5045.602815</v>
      </c>
      <c r="E32" s="335">
        <v>18728.085073</v>
      </c>
      <c r="F32" s="335">
        <v>385041.602646</v>
      </c>
      <c r="G32" s="335">
        <v>9426.751849</v>
      </c>
      <c r="H32" s="335">
        <v>122822.397045</v>
      </c>
      <c r="I32" s="335">
        <v>114974.04888</v>
      </c>
      <c r="J32" s="335">
        <v>415804.348527</v>
      </c>
      <c r="K32" s="335">
        <v>39761.24757</v>
      </c>
      <c r="L32" s="335">
        <v>0</v>
      </c>
      <c r="M32" s="335">
        <v>1243317.892853</v>
      </c>
      <c r="N32" s="348"/>
    </row>
    <row r="33" spans="1:14">
      <c r="A33" s="240"/>
      <c r="B33" s="341" t="s">
        <v>380</v>
      </c>
      <c r="C33" s="335">
        <v>111782.210717</v>
      </c>
      <c r="D33" s="335">
        <v>2683.737745</v>
      </c>
      <c r="E33" s="335">
        <v>11475.636767</v>
      </c>
      <c r="F33" s="335">
        <v>376925.351669</v>
      </c>
      <c r="G33" s="335">
        <v>11928.095478</v>
      </c>
      <c r="H33" s="342">
        <v>125657.751955</v>
      </c>
      <c r="I33" s="335">
        <v>100454.238197</v>
      </c>
      <c r="J33" s="335">
        <v>332293.431175</v>
      </c>
      <c r="K33" s="335">
        <v>31146.849622</v>
      </c>
      <c r="L33" s="335">
        <v>0</v>
      </c>
      <c r="M33" s="335">
        <v>1104347.303325</v>
      </c>
      <c r="N33" s="348"/>
    </row>
    <row r="34" spans="1:14">
      <c r="A34" s="240"/>
      <c r="B34" s="341" t="s">
        <v>391</v>
      </c>
      <c r="C34" s="335">
        <v>141318.839356</v>
      </c>
      <c r="D34" s="335">
        <v>2088.213016</v>
      </c>
      <c r="E34" s="335">
        <v>13128.266758</v>
      </c>
      <c r="F34" s="335">
        <v>402166.845442</v>
      </c>
      <c r="G34" s="335">
        <v>7717.844173</v>
      </c>
      <c r="H34" s="335">
        <v>145924.215104</v>
      </c>
      <c r="I34" s="335">
        <v>95146.40153</v>
      </c>
      <c r="J34" s="335">
        <v>360135.424561</v>
      </c>
      <c r="K34" s="335">
        <v>61276.607314</v>
      </c>
      <c r="L34" s="335">
        <v>0</v>
      </c>
      <c r="M34" s="335">
        <v>1228902.657254</v>
      </c>
      <c r="N34" s="348"/>
    </row>
    <row r="35" spans="1:14">
      <c r="A35" s="240"/>
      <c r="B35" s="341" t="s">
        <v>382</v>
      </c>
      <c r="C35" s="335">
        <v>126911.279454</v>
      </c>
      <c r="D35" s="335">
        <v>3807.034146</v>
      </c>
      <c r="E35" s="335">
        <v>11201.34782</v>
      </c>
      <c r="F35" s="335">
        <v>72403.70812</v>
      </c>
      <c r="G35" s="335">
        <v>13401.297171</v>
      </c>
      <c r="H35" s="335">
        <v>126132.409485</v>
      </c>
      <c r="I35" s="335">
        <v>84839.200167</v>
      </c>
      <c r="J35" s="335">
        <v>271368.730169</v>
      </c>
      <c r="K35" s="335">
        <v>25105.930231</v>
      </c>
      <c r="L35" s="335">
        <v>0</v>
      </c>
      <c r="M35" s="335">
        <v>735170.936763</v>
      </c>
      <c r="N35" s="348"/>
    </row>
    <row r="36" spans="1:14">
      <c r="A36" s="240"/>
      <c r="B36" s="341" t="s">
        <v>383</v>
      </c>
      <c r="C36" s="335">
        <v>111560.238997</v>
      </c>
      <c r="D36" s="335">
        <v>5460.973413</v>
      </c>
      <c r="E36" s="335">
        <v>12089.388226</v>
      </c>
      <c r="F36" s="335">
        <v>86542.029417</v>
      </c>
      <c r="G36" s="335">
        <v>5717.764134</v>
      </c>
      <c r="H36" s="335">
        <v>147191.027198</v>
      </c>
      <c r="I36" s="335">
        <v>84733.755515</v>
      </c>
      <c r="J36" s="335">
        <v>261193.220811</v>
      </c>
      <c r="K36" s="335">
        <v>34717.401779</v>
      </c>
      <c r="L36" s="335">
        <v>0</v>
      </c>
      <c r="M36" s="335">
        <v>749205.79949</v>
      </c>
      <c r="N36" s="348"/>
    </row>
    <row r="37" spans="1:14">
      <c r="A37" s="240"/>
      <c r="B37" s="341" t="s">
        <v>384</v>
      </c>
      <c r="C37" s="335">
        <v>126423.465007</v>
      </c>
      <c r="D37" s="335">
        <v>6375.072085</v>
      </c>
      <c r="E37" s="335">
        <v>11906.326688</v>
      </c>
      <c r="F37" s="335">
        <v>135733.967333</v>
      </c>
      <c r="G37" s="335">
        <v>6735.982345</v>
      </c>
      <c r="H37" s="335">
        <v>166261.463378</v>
      </c>
      <c r="I37" s="335">
        <v>103099.108372</v>
      </c>
      <c r="J37" s="335">
        <v>351259.710711</v>
      </c>
      <c r="K37" s="335">
        <v>41060.064922</v>
      </c>
      <c r="L37" s="335">
        <v>0.180042</v>
      </c>
      <c r="M37" s="335">
        <v>948855.340883</v>
      </c>
      <c r="N37" s="348"/>
    </row>
    <row r="38" spans="1:14">
      <c r="A38" s="240"/>
      <c r="B38" s="341" t="s">
        <v>385</v>
      </c>
      <c r="C38" s="335">
        <v>152199.884067</v>
      </c>
      <c r="D38" s="335">
        <v>2728.372896</v>
      </c>
      <c r="E38" s="335">
        <v>14526.235721</v>
      </c>
      <c r="F38" s="335">
        <v>229802.324421</v>
      </c>
      <c r="G38" s="335">
        <v>12009.249187</v>
      </c>
      <c r="H38" s="335">
        <v>159468.705949</v>
      </c>
      <c r="I38" s="335">
        <v>90658.078057</v>
      </c>
      <c r="J38" s="335">
        <v>312744.415644</v>
      </c>
      <c r="K38" s="335">
        <v>36744.740017</v>
      </c>
      <c r="L38" s="335">
        <v>0.235776</v>
      </c>
      <c r="M38" s="335">
        <v>1010882.241735</v>
      </c>
      <c r="N38" s="348"/>
    </row>
    <row r="39" spans="1:14">
      <c r="A39" s="240"/>
      <c r="B39" s="341" t="s">
        <v>386</v>
      </c>
      <c r="C39" s="335">
        <v>162291.46814</v>
      </c>
      <c r="D39" s="335">
        <v>5565.897984</v>
      </c>
      <c r="E39" s="335">
        <v>14250.462829</v>
      </c>
      <c r="F39" s="335">
        <v>262169.838941</v>
      </c>
      <c r="G39" s="335">
        <v>9746.735741</v>
      </c>
      <c r="H39" s="335">
        <v>179702.495512</v>
      </c>
      <c r="I39" s="335">
        <v>90701.291742</v>
      </c>
      <c r="J39" s="335">
        <v>354751.589856</v>
      </c>
      <c r="K39" s="335">
        <v>47114.690187</v>
      </c>
      <c r="L39" s="335">
        <v>0.163402</v>
      </c>
      <c r="M39" s="335">
        <v>1126294.634334</v>
      </c>
      <c r="N39" s="348"/>
    </row>
    <row r="40" spans="1:14">
      <c r="A40" s="240"/>
      <c r="B40" s="341" t="s">
        <v>387</v>
      </c>
      <c r="C40" s="335">
        <v>161014.158637</v>
      </c>
      <c r="D40" s="335">
        <v>5827.348297</v>
      </c>
      <c r="E40" s="335">
        <v>13176.497113</v>
      </c>
      <c r="F40" s="335">
        <v>172422.359646</v>
      </c>
      <c r="G40" s="335">
        <v>11727.969067</v>
      </c>
      <c r="H40" s="335">
        <v>172601.8893</v>
      </c>
      <c r="I40" s="335">
        <v>95925.038804</v>
      </c>
      <c r="J40" s="335">
        <v>370524.448348</v>
      </c>
      <c r="K40" s="335">
        <v>44196.143725</v>
      </c>
      <c r="L40" s="335">
        <v>0</v>
      </c>
      <c r="M40" s="335">
        <v>1047415.852937</v>
      </c>
      <c r="N40" s="348"/>
    </row>
    <row r="41" spans="1:14">
      <c r="A41" s="240"/>
      <c r="B41" s="341" t="s">
        <v>388</v>
      </c>
      <c r="C41" s="335">
        <v>127843.191022</v>
      </c>
      <c r="D41" s="335">
        <v>4277.531489</v>
      </c>
      <c r="E41" s="335">
        <v>13688.61594</v>
      </c>
      <c r="F41" s="335">
        <v>492907.211813</v>
      </c>
      <c r="G41" s="335">
        <v>5704.65964</v>
      </c>
      <c r="H41" s="335">
        <v>126894.028905</v>
      </c>
      <c r="I41" s="335">
        <v>70684.792905</v>
      </c>
      <c r="J41" s="335">
        <v>310336.671447</v>
      </c>
      <c r="K41" s="335">
        <v>32804.245692</v>
      </c>
      <c r="L41" s="335">
        <v>0</v>
      </c>
      <c r="M41" s="335">
        <v>1185140.948853</v>
      </c>
      <c r="N41" s="348"/>
    </row>
    <row r="42" spans="1:14">
      <c r="A42" s="240"/>
      <c r="B42" s="341" t="s">
        <v>389</v>
      </c>
      <c r="C42" s="335">
        <v>173640.957566</v>
      </c>
      <c r="D42" s="335">
        <v>6277.214842</v>
      </c>
      <c r="E42" s="335">
        <v>12009.877151</v>
      </c>
      <c r="F42" s="335">
        <v>213569.576156</v>
      </c>
      <c r="G42" s="335">
        <v>17759.452978</v>
      </c>
      <c r="H42" s="335">
        <v>347664.783885</v>
      </c>
      <c r="I42" s="335">
        <v>99064.824737</v>
      </c>
      <c r="J42" s="335">
        <v>428495.957455</v>
      </c>
      <c r="K42" s="335">
        <v>41337.062764</v>
      </c>
      <c r="L42" s="335">
        <v>0</v>
      </c>
      <c r="M42" s="335">
        <v>1339819.707534</v>
      </c>
      <c r="N42" s="348"/>
    </row>
    <row r="43" spans="1:14">
      <c r="A43" s="240"/>
      <c r="B43" s="341" t="s">
        <v>390</v>
      </c>
      <c r="C43" s="335">
        <v>158481.727657</v>
      </c>
      <c r="D43" s="335">
        <v>6011.41314</v>
      </c>
      <c r="E43" s="335">
        <v>15096.921559</v>
      </c>
      <c r="F43" s="335">
        <v>66090.131626</v>
      </c>
      <c r="G43" s="335">
        <v>8340.757784</v>
      </c>
      <c r="H43" s="335">
        <v>193450.564053</v>
      </c>
      <c r="I43" s="335">
        <v>91364.881124</v>
      </c>
      <c r="J43" s="335">
        <v>388797.621727</v>
      </c>
      <c r="K43" s="335">
        <v>53956.473195</v>
      </c>
      <c r="L43" s="335">
        <v>0</v>
      </c>
      <c r="M43" s="335">
        <v>981590.491865</v>
      </c>
      <c r="N43" s="348"/>
    </row>
    <row r="44" spans="1:14">
      <c r="A44" s="231">
        <v>2021</v>
      </c>
      <c r="B44" s="341" t="s">
        <v>379</v>
      </c>
      <c r="C44" s="335">
        <v>163892.13026</v>
      </c>
      <c r="D44" s="335">
        <v>5578.64682</v>
      </c>
      <c r="E44" s="335">
        <v>17648.020467</v>
      </c>
      <c r="F44" s="335">
        <v>382878.974649</v>
      </c>
      <c r="G44" s="335">
        <v>25778.308456</v>
      </c>
      <c r="H44" s="335">
        <v>162410.84406</v>
      </c>
      <c r="I44" s="335">
        <v>81734.409771</v>
      </c>
      <c r="J44" s="335">
        <v>396828.125659</v>
      </c>
      <c r="K44" s="335">
        <v>78467.040655</v>
      </c>
      <c r="L44" s="335">
        <v>0.171858</v>
      </c>
      <c r="M44" s="335">
        <v>1315216.672655</v>
      </c>
      <c r="N44" s="348"/>
    </row>
    <row r="45" spans="1:14">
      <c r="A45" s="240"/>
      <c r="B45" s="341" t="s">
        <v>380</v>
      </c>
      <c r="C45" s="335">
        <v>188175.329136</v>
      </c>
      <c r="D45" s="335">
        <v>4043.439621</v>
      </c>
      <c r="E45" s="335">
        <v>13917.017982</v>
      </c>
      <c r="F45" s="335">
        <v>520260.30740655</v>
      </c>
      <c r="G45" s="335">
        <v>13558.079361</v>
      </c>
      <c r="H45" s="335">
        <v>313300.617513</v>
      </c>
      <c r="I45" s="335">
        <v>95946.904783</v>
      </c>
      <c r="J45" s="335">
        <v>383901.811207</v>
      </c>
      <c r="K45" s="335">
        <v>48934.031196</v>
      </c>
      <c r="L45" s="335">
        <v>0</v>
      </c>
      <c r="M45" s="335">
        <v>1582037.53820555</v>
      </c>
      <c r="N45" s="348"/>
    </row>
    <row r="46" spans="1:14">
      <c r="A46" s="240"/>
      <c r="B46" s="341" t="s">
        <v>391</v>
      </c>
      <c r="C46" s="335">
        <v>194569.638893</v>
      </c>
      <c r="D46" s="335">
        <v>5393.18719</v>
      </c>
      <c r="E46" s="335">
        <v>16384.597385</v>
      </c>
      <c r="F46" s="335">
        <v>797168.57147337</v>
      </c>
      <c r="G46" s="335">
        <v>6507.259565</v>
      </c>
      <c r="H46" s="335">
        <v>187377.911202</v>
      </c>
      <c r="I46" s="335">
        <v>161334.516099</v>
      </c>
      <c r="J46" s="335">
        <v>506470.169174</v>
      </c>
      <c r="K46" s="335">
        <v>102727.787199</v>
      </c>
      <c r="L46" s="335">
        <v>0</v>
      </c>
      <c r="M46" s="335">
        <v>1977933.63818037</v>
      </c>
      <c r="N46" s="348"/>
    </row>
    <row r="47" spans="1:14">
      <c r="A47" s="240"/>
      <c r="B47" s="341" t="s">
        <v>382</v>
      </c>
      <c r="C47" s="335">
        <v>200464.970454</v>
      </c>
      <c r="D47" s="335">
        <v>6936.881916</v>
      </c>
      <c r="E47" s="335">
        <v>21031.36638</v>
      </c>
      <c r="F47" s="335">
        <v>157169.852191</v>
      </c>
      <c r="G47" s="335">
        <v>13026.390576</v>
      </c>
      <c r="H47" s="335">
        <v>240970.301515</v>
      </c>
      <c r="I47" s="335">
        <v>171121.03486</v>
      </c>
      <c r="J47" s="335">
        <v>441887.555655</v>
      </c>
      <c r="K47" s="335">
        <v>58783.419686</v>
      </c>
      <c r="L47" s="335">
        <v>0</v>
      </c>
      <c r="M47" s="335">
        <v>1311391.773233</v>
      </c>
      <c r="N47" s="348"/>
    </row>
    <row r="48" spans="1:14">
      <c r="A48" s="240"/>
      <c r="B48" s="341" t="s">
        <v>383</v>
      </c>
      <c r="C48" s="335">
        <v>181663.174116</v>
      </c>
      <c r="D48" s="335">
        <v>5797.733319</v>
      </c>
      <c r="E48" s="335">
        <v>16637.028337</v>
      </c>
      <c r="F48" s="335">
        <v>492860.204683</v>
      </c>
      <c r="G48" s="335">
        <v>15710.439352</v>
      </c>
      <c r="H48" s="335">
        <v>205863.218321</v>
      </c>
      <c r="I48" s="335">
        <v>111795.832904</v>
      </c>
      <c r="J48" s="335">
        <v>404417.701473</v>
      </c>
      <c r="K48" s="335">
        <v>41027.805232</v>
      </c>
      <c r="L48" s="335">
        <v>0.018802</v>
      </c>
      <c r="M48" s="335">
        <v>1475773.156539</v>
      </c>
      <c r="N48" s="348"/>
    </row>
    <row r="49" spans="1:14">
      <c r="A49" s="240"/>
      <c r="B49" s="341" t="s">
        <v>384</v>
      </c>
      <c r="C49" s="335">
        <v>211417.565</v>
      </c>
      <c r="D49" s="335">
        <v>6844.463468</v>
      </c>
      <c r="E49" s="335">
        <v>22617.963452</v>
      </c>
      <c r="F49" s="335">
        <v>713088.77246</v>
      </c>
      <c r="G49" s="335">
        <v>5645.525115</v>
      </c>
      <c r="H49" s="335">
        <v>248838.021296</v>
      </c>
      <c r="I49" s="335">
        <v>151694.840925</v>
      </c>
      <c r="J49" s="335">
        <v>497780.076324</v>
      </c>
      <c r="K49" s="335">
        <v>47241.737807</v>
      </c>
      <c r="L49" s="335">
        <v>0.428809</v>
      </c>
      <c r="M49" s="335">
        <v>1905169.394656</v>
      </c>
      <c r="N49" s="348"/>
    </row>
    <row r="50" customHeight="1" spans="1:14">
      <c r="A50" s="240"/>
      <c r="B50" s="343" t="s">
        <v>385</v>
      </c>
      <c r="C50" s="335">
        <v>189475.091073</v>
      </c>
      <c r="D50" s="335">
        <v>6563.065096</v>
      </c>
      <c r="E50" s="335">
        <v>22396.573678</v>
      </c>
      <c r="F50" s="335">
        <v>617271.219027</v>
      </c>
      <c r="G50" s="335">
        <v>17237.666468</v>
      </c>
      <c r="H50" s="335">
        <v>243698.018633</v>
      </c>
      <c r="I50" s="335">
        <v>115637.190631</v>
      </c>
      <c r="J50" s="335">
        <v>456363.813061</v>
      </c>
      <c r="K50" s="335">
        <v>72112.219682</v>
      </c>
      <c r="L50" s="335">
        <v>0.012287</v>
      </c>
      <c r="M50" s="335">
        <v>1740754.869636</v>
      </c>
      <c r="N50" s="223"/>
    </row>
    <row r="51" customHeight="1" spans="1:14">
      <c r="A51" s="240"/>
      <c r="B51" s="343" t="s">
        <v>386</v>
      </c>
      <c r="C51" s="335">
        <v>266505.511528</v>
      </c>
      <c r="D51" s="335">
        <v>7227.167963</v>
      </c>
      <c r="E51" s="335">
        <v>21717.553671</v>
      </c>
      <c r="F51" s="335">
        <v>704882.374591</v>
      </c>
      <c r="G51" s="335">
        <v>14942.689551</v>
      </c>
      <c r="H51" s="335">
        <v>272354.473895</v>
      </c>
      <c r="I51" s="335">
        <v>154170.969985</v>
      </c>
      <c r="J51" s="335">
        <v>502658.411714</v>
      </c>
      <c r="K51" s="335">
        <v>61458.62103</v>
      </c>
      <c r="L51" s="335">
        <v>0</v>
      </c>
      <c r="M51" s="335">
        <v>2005917.773928</v>
      </c>
      <c r="N51" s="223"/>
    </row>
    <row r="52" customHeight="1" spans="1:14">
      <c r="A52" s="240"/>
      <c r="B52" s="343" t="s">
        <v>387</v>
      </c>
      <c r="C52" s="335">
        <v>259612.090543</v>
      </c>
      <c r="D52" s="335">
        <v>7277.155174</v>
      </c>
      <c r="E52" s="335">
        <v>19901.002808</v>
      </c>
      <c r="F52" s="335">
        <v>374164.669567</v>
      </c>
      <c r="G52" s="335">
        <v>11305.590663</v>
      </c>
      <c r="H52" s="335">
        <v>216902.966315</v>
      </c>
      <c r="I52" s="335">
        <v>143057.458361</v>
      </c>
      <c r="J52" s="335">
        <v>495215.480169</v>
      </c>
      <c r="K52" s="335">
        <v>61752.152307</v>
      </c>
      <c r="L52" s="335">
        <v>0.094034</v>
      </c>
      <c r="M52" s="335">
        <v>1589188.659941</v>
      </c>
      <c r="N52" s="223"/>
    </row>
    <row r="53" customHeight="1" spans="1:14">
      <c r="A53" s="240"/>
      <c r="B53" s="343" t="s">
        <v>388</v>
      </c>
      <c r="C53" s="335">
        <v>205409.239604</v>
      </c>
      <c r="D53" s="335">
        <v>7622.92783</v>
      </c>
      <c r="E53" s="335">
        <v>21094.111534</v>
      </c>
      <c r="F53" s="335">
        <v>813551.791997</v>
      </c>
      <c r="G53" s="335">
        <v>52879.550433</v>
      </c>
      <c r="H53" s="335">
        <v>237122.077177</v>
      </c>
      <c r="I53" s="335">
        <v>141551.944605</v>
      </c>
      <c r="J53" s="335">
        <v>517058.441958</v>
      </c>
      <c r="K53" s="335">
        <v>88191.161165</v>
      </c>
      <c r="L53" s="335">
        <v>13.044425</v>
      </c>
      <c r="M53" s="335">
        <v>2084494.290728</v>
      </c>
      <c r="N53" s="223"/>
    </row>
    <row r="54" customHeight="1" spans="1:14">
      <c r="A54" s="240"/>
      <c r="B54" s="343" t="s">
        <v>389</v>
      </c>
      <c r="C54" s="335">
        <v>236609.676695</v>
      </c>
      <c r="D54" s="335">
        <v>8318.210336</v>
      </c>
      <c r="E54" s="335">
        <v>25533.216491</v>
      </c>
      <c r="F54" s="335">
        <v>803741.199447</v>
      </c>
      <c r="G54" s="335">
        <v>16544.907529</v>
      </c>
      <c r="H54" s="335">
        <v>281328.445599</v>
      </c>
      <c r="I54" s="335">
        <v>193731.743644</v>
      </c>
      <c r="J54" s="335">
        <v>556168.146055</v>
      </c>
      <c r="K54" s="335">
        <v>93760.457819</v>
      </c>
      <c r="L54" s="335">
        <v>0.473546</v>
      </c>
      <c r="M54" s="335">
        <v>2215736.477161</v>
      </c>
      <c r="N54" s="223"/>
    </row>
    <row r="55" customHeight="1" spans="1:14">
      <c r="A55" s="240"/>
      <c r="B55" s="343" t="s">
        <v>390</v>
      </c>
      <c r="C55" s="335">
        <v>356494.160518</v>
      </c>
      <c r="D55" s="335">
        <v>7814.257585</v>
      </c>
      <c r="E55" s="335">
        <v>22985.085239</v>
      </c>
      <c r="F55" s="335">
        <v>82841.35286</v>
      </c>
      <c r="G55" s="335">
        <v>24162.80586</v>
      </c>
      <c r="H55" s="335">
        <v>255221.124946</v>
      </c>
      <c r="I55" s="335">
        <v>239106.523618</v>
      </c>
      <c r="J55" s="335">
        <v>566433.061619</v>
      </c>
      <c r="K55" s="335">
        <v>85292.335354</v>
      </c>
      <c r="L55" s="335">
        <v>0</v>
      </c>
      <c r="M55" s="335">
        <v>1640350.707599</v>
      </c>
      <c r="N55" s="223"/>
    </row>
    <row r="56" customHeight="1" spans="1:15">
      <c r="A56" s="240">
        <v>2022</v>
      </c>
      <c r="B56" s="343" t="s">
        <v>379</v>
      </c>
      <c r="C56" s="335">
        <v>177410.173399</v>
      </c>
      <c r="D56" s="335">
        <v>7827.56083</v>
      </c>
      <c r="E56" s="335">
        <v>28471.097741</v>
      </c>
      <c r="F56" s="335">
        <v>741702.799332168</v>
      </c>
      <c r="G56" s="335">
        <v>12528.098262</v>
      </c>
      <c r="H56" s="335">
        <v>265604.483022</v>
      </c>
      <c r="I56" s="335">
        <v>142831.748371</v>
      </c>
      <c r="J56" s="335">
        <v>598718.829017</v>
      </c>
      <c r="K56" s="335">
        <v>79493.668876</v>
      </c>
      <c r="L56" s="335">
        <v>20.811748</v>
      </c>
      <c r="M56" s="335">
        <v>2054609.27059817</v>
      </c>
      <c r="N56" s="350"/>
      <c r="O56" s="277"/>
    </row>
    <row r="57" customHeight="1" spans="1:15">
      <c r="A57" s="240"/>
      <c r="B57" s="343" t="s">
        <v>380</v>
      </c>
      <c r="C57" s="335">
        <v>214285.758932</v>
      </c>
      <c r="D57" s="335">
        <v>9047.784862</v>
      </c>
      <c r="E57" s="335">
        <v>25929.256594</v>
      </c>
      <c r="F57" s="335">
        <v>829749.573191892</v>
      </c>
      <c r="G57" s="335">
        <v>3984.812728</v>
      </c>
      <c r="H57" s="335">
        <v>238723.513756</v>
      </c>
      <c r="I57" s="335">
        <v>152367.934887</v>
      </c>
      <c r="J57" s="335">
        <v>451240.935488</v>
      </c>
      <c r="K57" s="335">
        <v>88283.988682</v>
      </c>
      <c r="L57" s="335">
        <v>0</v>
      </c>
      <c r="M57" s="335">
        <v>2013613.55912089</v>
      </c>
      <c r="N57" s="350"/>
      <c r="O57" s="277"/>
    </row>
    <row r="58" customHeight="1" spans="1:15">
      <c r="A58" s="240"/>
      <c r="B58" s="343" t="s">
        <v>391</v>
      </c>
      <c r="C58" s="335">
        <v>245235.157035</v>
      </c>
      <c r="D58" s="335">
        <v>11374.505757</v>
      </c>
      <c r="E58" s="335">
        <v>28876.003736</v>
      </c>
      <c r="F58" s="335">
        <v>1931603.44157948</v>
      </c>
      <c r="G58" s="335">
        <v>10567.680856</v>
      </c>
      <c r="H58" s="335">
        <v>308561.6196</v>
      </c>
      <c r="I58" s="335">
        <v>175513.767072</v>
      </c>
      <c r="J58" s="335">
        <v>605003.902803</v>
      </c>
      <c r="K58" s="335">
        <v>110714.604383</v>
      </c>
      <c r="L58" s="335">
        <v>0.007011</v>
      </c>
      <c r="M58" s="335">
        <v>3427450.68983248</v>
      </c>
      <c r="N58" s="350"/>
      <c r="O58" s="277"/>
    </row>
    <row r="59" spans="1:15">
      <c r="A59" s="344"/>
      <c r="B59" s="343" t="s">
        <v>382</v>
      </c>
      <c r="C59" s="335">
        <v>191080.66007</v>
      </c>
      <c r="D59" s="335">
        <v>9149.262146</v>
      </c>
      <c r="E59" s="335">
        <v>26758.950007</v>
      </c>
      <c r="F59" s="335">
        <v>439041.736088</v>
      </c>
      <c r="G59" s="335">
        <v>8530.967269</v>
      </c>
      <c r="H59" s="335">
        <v>324918.116364</v>
      </c>
      <c r="I59" s="335">
        <v>157292.45605</v>
      </c>
      <c r="J59" s="335">
        <v>473485.450858</v>
      </c>
      <c r="K59" s="335">
        <v>83441.590064</v>
      </c>
      <c r="L59" s="335">
        <v>0</v>
      </c>
      <c r="M59" s="335">
        <v>1713699.188916</v>
      </c>
      <c r="N59" s="351"/>
      <c r="O59" s="277"/>
    </row>
    <row r="60" spans="1:15">
      <c r="A60" s="344"/>
      <c r="B60" s="343" t="s">
        <v>383</v>
      </c>
      <c r="C60" s="335">
        <v>197877.650511</v>
      </c>
      <c r="D60" s="335">
        <v>17330.637437</v>
      </c>
      <c r="E60" s="335">
        <v>25186.091202</v>
      </c>
      <c r="F60" s="335">
        <v>776565.213848</v>
      </c>
      <c r="G60" s="335">
        <v>9808.182873</v>
      </c>
      <c r="H60" s="335">
        <v>321496.964813</v>
      </c>
      <c r="I60" s="335">
        <v>147608.19557</v>
      </c>
      <c r="J60" s="335">
        <v>482853.485008</v>
      </c>
      <c r="K60" s="335">
        <v>73087.543534</v>
      </c>
      <c r="L60" s="335">
        <v>0</v>
      </c>
      <c r="M60" s="335">
        <v>2051813.964796</v>
      </c>
      <c r="N60" s="351"/>
      <c r="O60" s="277"/>
    </row>
    <row r="61" spans="1:15">
      <c r="A61" s="344"/>
      <c r="B61" s="343" t="s">
        <v>384</v>
      </c>
      <c r="C61" s="335">
        <v>297516.318168</v>
      </c>
      <c r="D61" s="335">
        <v>7042.108007</v>
      </c>
      <c r="E61" s="335">
        <v>25677.924132</v>
      </c>
      <c r="F61" s="335">
        <v>1224894.25123922</v>
      </c>
      <c r="G61" s="335">
        <v>9787.337166</v>
      </c>
      <c r="H61" s="335">
        <v>294146.904268</v>
      </c>
      <c r="I61" s="335">
        <v>161178.611569</v>
      </c>
      <c r="J61" s="335">
        <v>512597.112061</v>
      </c>
      <c r="K61" s="335">
        <v>90159.36057</v>
      </c>
      <c r="L61" s="335">
        <v>1.08694</v>
      </c>
      <c r="M61" s="335">
        <v>2623001.01412022</v>
      </c>
      <c r="N61" s="351"/>
      <c r="O61" s="277"/>
    </row>
    <row r="62" spans="1:15">
      <c r="A62" s="344"/>
      <c r="B62" s="343" t="s">
        <v>385</v>
      </c>
      <c r="C62" s="335">
        <v>217261.643529</v>
      </c>
      <c r="D62" s="335">
        <v>9078.01957</v>
      </c>
      <c r="E62" s="335">
        <v>21232.668624</v>
      </c>
      <c r="F62" s="335">
        <v>1081638.1613284</v>
      </c>
      <c r="G62" s="335">
        <v>15599.037106</v>
      </c>
      <c r="H62" s="335">
        <v>284419.28217</v>
      </c>
      <c r="I62" s="335">
        <v>181931.755923</v>
      </c>
      <c r="J62" s="335">
        <v>467351.993952</v>
      </c>
      <c r="K62" s="335">
        <v>83753.413514</v>
      </c>
      <c r="L62" s="335">
        <v>0.173924</v>
      </c>
      <c r="M62" s="335">
        <v>2362266.1496404</v>
      </c>
      <c r="N62" s="351"/>
      <c r="O62" s="277"/>
    </row>
    <row r="63" spans="1:15">
      <c r="A63" s="344"/>
      <c r="B63" s="343" t="s">
        <v>386</v>
      </c>
      <c r="C63" s="335">
        <v>238591.917848</v>
      </c>
      <c r="D63" s="335">
        <v>8096.121262</v>
      </c>
      <c r="E63" s="335">
        <v>37306.391097</v>
      </c>
      <c r="F63" s="335">
        <v>734212.686016415</v>
      </c>
      <c r="G63" s="335">
        <v>2471.995936</v>
      </c>
      <c r="H63" s="335">
        <v>255311.865298</v>
      </c>
      <c r="I63" s="335">
        <v>188396.040587</v>
      </c>
      <c r="J63" s="335">
        <v>589517.428052</v>
      </c>
      <c r="K63" s="335">
        <v>121094.902963</v>
      </c>
      <c r="L63" s="335">
        <v>0</v>
      </c>
      <c r="M63" s="335">
        <v>2174999.34905942</v>
      </c>
      <c r="N63" s="351"/>
      <c r="O63" s="277"/>
    </row>
    <row r="64" spans="1:15">
      <c r="A64" s="344"/>
      <c r="B64" s="343" t="s">
        <v>387</v>
      </c>
      <c r="C64" s="335">
        <v>238459.88408</v>
      </c>
      <c r="D64" s="335">
        <v>7710.074959</v>
      </c>
      <c r="E64" s="335">
        <v>33313.843529</v>
      </c>
      <c r="F64" s="335">
        <v>486764.782721176</v>
      </c>
      <c r="G64" s="335">
        <v>23504.908503</v>
      </c>
      <c r="H64" s="335">
        <v>293468.463109</v>
      </c>
      <c r="I64" s="335">
        <v>161099.438903</v>
      </c>
      <c r="J64" s="335">
        <v>466169.274821</v>
      </c>
      <c r="K64" s="335">
        <v>95733.618258</v>
      </c>
      <c r="L64" s="335">
        <v>41.988973</v>
      </c>
      <c r="M64" s="335">
        <v>1806266.27785618</v>
      </c>
      <c r="N64" s="351"/>
      <c r="O64" s="277"/>
    </row>
    <row r="65" spans="1:15">
      <c r="A65" s="344"/>
      <c r="B65" s="343" t="s">
        <v>388</v>
      </c>
      <c r="C65" s="335">
        <v>211574.352493</v>
      </c>
      <c r="D65" s="335">
        <v>8639.478569</v>
      </c>
      <c r="E65" s="335">
        <v>24737.696207</v>
      </c>
      <c r="F65" s="335">
        <v>1042915.60363479</v>
      </c>
      <c r="G65" s="335">
        <v>23283.37855</v>
      </c>
      <c r="H65" s="335">
        <v>223956.493708</v>
      </c>
      <c r="I65" s="335">
        <v>145403.635953</v>
      </c>
      <c r="J65" s="335">
        <v>416660.310267</v>
      </c>
      <c r="K65" s="335">
        <v>89995.621387</v>
      </c>
      <c r="L65" s="335">
        <v>23.75179</v>
      </c>
      <c r="M65" s="335">
        <v>2187190.32255879</v>
      </c>
      <c r="N65" s="351"/>
      <c r="O65" s="277"/>
    </row>
    <row r="66" spans="1:15">
      <c r="A66" s="344"/>
      <c r="B66" s="343" t="s">
        <v>389</v>
      </c>
      <c r="C66" s="335">
        <v>191597.498825</v>
      </c>
      <c r="D66" s="335">
        <v>10130.579082</v>
      </c>
      <c r="E66" s="335">
        <v>26355.858406</v>
      </c>
      <c r="F66" s="335">
        <v>733357.751156</v>
      </c>
      <c r="G66" s="335">
        <v>31897.817573</v>
      </c>
      <c r="H66" s="335">
        <v>262299.760484</v>
      </c>
      <c r="I66" s="335">
        <v>164646.603171</v>
      </c>
      <c r="J66" s="335">
        <v>431059.718185</v>
      </c>
      <c r="K66" s="335">
        <v>88483.839279</v>
      </c>
      <c r="L66" s="335">
        <v>79.336886</v>
      </c>
      <c r="M66" s="335">
        <v>1939908.763047</v>
      </c>
      <c r="N66" s="351"/>
      <c r="O66" s="277"/>
    </row>
    <row r="67" spans="1:15">
      <c r="A67" s="344"/>
      <c r="B67" s="343" t="s">
        <v>390</v>
      </c>
      <c r="C67" s="335">
        <v>206092.421115</v>
      </c>
      <c r="D67" s="335">
        <v>7544.723388</v>
      </c>
      <c r="E67" s="335">
        <v>20452.549744</v>
      </c>
      <c r="F67" s="335">
        <v>101598.165151</v>
      </c>
      <c r="G67" s="335">
        <v>12188.49941</v>
      </c>
      <c r="H67" s="335">
        <v>208423.115535</v>
      </c>
      <c r="I67" s="335">
        <v>151118.612258</v>
      </c>
      <c r="J67" s="335">
        <v>436223.330278</v>
      </c>
      <c r="K67" s="335">
        <v>92085.46377</v>
      </c>
      <c r="L67" s="335">
        <v>1.979273</v>
      </c>
      <c r="M67" s="335">
        <v>1235728.859922</v>
      </c>
      <c r="N67" s="351"/>
      <c r="O67" s="277"/>
    </row>
    <row r="68" ht="18" customHeight="1" spans="1:15">
      <c r="A68" s="352">
        <v>2023</v>
      </c>
      <c r="B68" s="343" t="s">
        <v>379</v>
      </c>
      <c r="C68" s="335">
        <v>207920.086931</v>
      </c>
      <c r="D68" s="335">
        <v>8347.880482</v>
      </c>
      <c r="E68" s="335">
        <v>29409.411667</v>
      </c>
      <c r="F68" s="335">
        <v>1089494.55031115</v>
      </c>
      <c r="G68" s="335">
        <v>12727.287338</v>
      </c>
      <c r="H68" s="335">
        <v>214225.324925</v>
      </c>
      <c r="I68" s="335">
        <v>138862.722803</v>
      </c>
      <c r="J68" s="335">
        <v>430944.460736</v>
      </c>
      <c r="K68" s="335">
        <v>185595.625789</v>
      </c>
      <c r="L68" s="335">
        <v>15.311522</v>
      </c>
      <c r="M68" s="335">
        <v>2317542.66250415</v>
      </c>
      <c r="N68" s="351"/>
      <c r="O68" s="277"/>
    </row>
    <row r="69" ht="18" customHeight="1" spans="1:15">
      <c r="A69" s="344"/>
      <c r="B69" s="343" t="s">
        <v>380</v>
      </c>
      <c r="C69" s="335">
        <v>232238.882756</v>
      </c>
      <c r="D69" s="335">
        <v>7340.574413</v>
      </c>
      <c r="E69" s="335">
        <v>22129.085619</v>
      </c>
      <c r="F69" s="335">
        <v>878811.613970032</v>
      </c>
      <c r="G69" s="335">
        <v>20015.262806</v>
      </c>
      <c r="H69" s="335">
        <v>178411.478059</v>
      </c>
      <c r="I69" s="335">
        <v>113618.429295</v>
      </c>
      <c r="J69" s="335">
        <v>416981.769472</v>
      </c>
      <c r="K69" s="335">
        <v>75104.56824</v>
      </c>
      <c r="L69" s="335">
        <v>4.630148</v>
      </c>
      <c r="M69" s="335">
        <v>1944656.29477803</v>
      </c>
      <c r="N69" s="351"/>
      <c r="O69" s="277"/>
    </row>
    <row r="70" ht="18" customHeight="1" spans="1:15">
      <c r="A70" s="344"/>
      <c r="B70" s="343" t="s">
        <v>391</v>
      </c>
      <c r="C70" s="335">
        <v>235057.18694</v>
      </c>
      <c r="D70" s="335">
        <v>12250.232524</v>
      </c>
      <c r="E70" s="335">
        <v>32090.492487</v>
      </c>
      <c r="F70" s="335">
        <v>1030867.31692399</v>
      </c>
      <c r="G70" s="335">
        <v>11757.447993</v>
      </c>
      <c r="H70" s="335">
        <v>238343.724358</v>
      </c>
      <c r="I70" s="335">
        <v>142095.732157</v>
      </c>
      <c r="J70" s="335">
        <v>418816.090528</v>
      </c>
      <c r="K70" s="335">
        <v>82625.20348</v>
      </c>
      <c r="L70" s="335">
        <v>0</v>
      </c>
      <c r="M70" s="335">
        <v>2203903.42739098</v>
      </c>
      <c r="N70" s="351"/>
      <c r="O70" s="277"/>
    </row>
    <row r="71" ht="18" customHeight="1" spans="1:15">
      <c r="A71" s="344"/>
      <c r="B71" s="343" t="s">
        <v>382</v>
      </c>
      <c r="C71" s="335">
        <v>165365.650171</v>
      </c>
      <c r="D71" s="335">
        <v>7478.567679</v>
      </c>
      <c r="E71" s="335">
        <v>20393.546855</v>
      </c>
      <c r="F71" s="335">
        <v>912635.920067681</v>
      </c>
      <c r="G71" s="335">
        <v>15237.007001</v>
      </c>
      <c r="H71" s="335">
        <v>217388.555669</v>
      </c>
      <c r="I71" s="335">
        <v>123866.029836</v>
      </c>
      <c r="J71" s="335">
        <v>412602.660645</v>
      </c>
      <c r="K71" s="335">
        <v>59451.261303</v>
      </c>
      <c r="L71" s="335">
        <v>0</v>
      </c>
      <c r="M71" s="335">
        <v>1934419.19922668</v>
      </c>
      <c r="N71" s="351"/>
      <c r="O71" s="277"/>
    </row>
    <row r="72" ht="18" customHeight="1" spans="1:15">
      <c r="A72" s="344"/>
      <c r="B72" s="343" t="s">
        <v>383</v>
      </c>
      <c r="C72" s="335">
        <v>236065.288168</v>
      </c>
      <c r="D72" s="335">
        <v>9876.007676</v>
      </c>
      <c r="E72" s="335">
        <v>32118.253472</v>
      </c>
      <c r="F72" s="335">
        <v>774578.885553199</v>
      </c>
      <c r="G72" s="335">
        <v>26968.306536</v>
      </c>
      <c r="H72" s="335">
        <v>222328.893987</v>
      </c>
      <c r="I72" s="335">
        <v>155965.08931</v>
      </c>
      <c r="J72" s="335">
        <v>1116114.991514</v>
      </c>
      <c r="K72" s="335">
        <v>71150.448308</v>
      </c>
      <c r="L72" s="335">
        <v>0</v>
      </c>
      <c r="M72" s="335">
        <v>2645166.1645242</v>
      </c>
      <c r="N72" s="351"/>
      <c r="O72" s="277"/>
    </row>
    <row r="73" ht="18" customHeight="1" spans="1:15">
      <c r="A73" s="344"/>
      <c r="B73" s="343" t="s">
        <v>384</v>
      </c>
      <c r="C73" s="335">
        <v>260951.754501</v>
      </c>
      <c r="D73" s="335">
        <v>5271.436589</v>
      </c>
      <c r="E73" s="335">
        <v>19405.431935</v>
      </c>
      <c r="F73" s="335">
        <v>539908.040159976</v>
      </c>
      <c r="G73" s="335">
        <v>17127.591978</v>
      </c>
      <c r="H73" s="335">
        <v>209078.730123</v>
      </c>
      <c r="I73" s="335">
        <v>154179.229563</v>
      </c>
      <c r="J73" s="335">
        <v>456731.550921</v>
      </c>
      <c r="K73" s="335">
        <v>59709.626187</v>
      </c>
      <c r="L73" s="335">
        <v>0</v>
      </c>
      <c r="M73" s="335">
        <v>1722363.39195698</v>
      </c>
      <c r="N73" s="351"/>
      <c r="O73" s="277"/>
    </row>
    <row r="74" spans="1:13">
      <c r="A74" s="344"/>
      <c r="B74" s="343" t="s">
        <v>385</v>
      </c>
      <c r="C74" s="335">
        <v>362548.941901</v>
      </c>
      <c r="D74" s="335">
        <v>9016.719322</v>
      </c>
      <c r="E74" s="335">
        <v>48885.742054</v>
      </c>
      <c r="F74" s="335">
        <v>959540.805612</v>
      </c>
      <c r="G74" s="335">
        <v>17337.476382</v>
      </c>
      <c r="H74" s="335">
        <v>360360.120562</v>
      </c>
      <c r="I74" s="335">
        <v>242508.554466</v>
      </c>
      <c r="J74" s="335">
        <v>764368.170319</v>
      </c>
      <c r="K74" s="335">
        <v>99766.974597</v>
      </c>
      <c r="L74" s="335">
        <v>0.047439</v>
      </c>
      <c r="M74" s="335">
        <v>2864333.552654</v>
      </c>
    </row>
    <row r="75" spans="1:13">
      <c r="A75" s="344"/>
      <c r="B75" s="343" t="s">
        <v>386</v>
      </c>
      <c r="C75" s="335">
        <v>420266.7142</v>
      </c>
      <c r="D75" s="335">
        <v>13182.285187</v>
      </c>
      <c r="E75" s="335">
        <v>42481.536722</v>
      </c>
      <c r="F75" s="335">
        <v>1310960.95924386</v>
      </c>
      <c r="G75" s="335">
        <v>39033.283092</v>
      </c>
      <c r="H75" s="335">
        <v>398151.843284</v>
      </c>
      <c r="I75" s="335">
        <v>268784.237254</v>
      </c>
      <c r="J75" s="335">
        <v>905819.126875</v>
      </c>
      <c r="K75" s="335">
        <v>86802.738763</v>
      </c>
      <c r="L75" s="335">
        <v>0</v>
      </c>
      <c r="M75" s="335">
        <v>3485482.72462086</v>
      </c>
    </row>
    <row r="76" spans="1:13">
      <c r="A76" s="344"/>
      <c r="B76" s="343" t="s">
        <v>387</v>
      </c>
      <c r="C76" s="335">
        <v>257250.112321</v>
      </c>
      <c r="D76" s="335">
        <v>9643.233628</v>
      </c>
      <c r="E76" s="335">
        <v>36532.187331</v>
      </c>
      <c r="F76" s="335">
        <v>1164731.45862515</v>
      </c>
      <c r="G76" s="335">
        <v>8070.341207</v>
      </c>
      <c r="H76" s="335">
        <v>311687.804108</v>
      </c>
      <c r="I76" s="335">
        <v>184959.340502</v>
      </c>
      <c r="J76" s="335">
        <v>639703.694241</v>
      </c>
      <c r="K76" s="335">
        <v>78842.650169</v>
      </c>
      <c r="L76" s="335">
        <v>0</v>
      </c>
      <c r="M76" s="335">
        <v>2691420.82213215</v>
      </c>
    </row>
    <row r="77" spans="1:14">
      <c r="A77" s="344"/>
      <c r="B77" s="343" t="s">
        <v>388</v>
      </c>
      <c r="C77" s="335">
        <v>448068.254555</v>
      </c>
      <c r="D77" s="335">
        <v>17773.852371</v>
      </c>
      <c r="E77" s="335">
        <v>46922.457554</v>
      </c>
      <c r="F77" s="335">
        <v>1355319.2844213</v>
      </c>
      <c r="G77" s="335">
        <v>26641.89957</v>
      </c>
      <c r="H77" s="335">
        <v>365953.386325</v>
      </c>
      <c r="I77" s="335">
        <v>264292.155507</v>
      </c>
      <c r="J77" s="335">
        <v>820932.82296</v>
      </c>
      <c r="K77" s="335">
        <v>111782.04804974</v>
      </c>
      <c r="L77" s="335">
        <v>0</v>
      </c>
      <c r="M77" s="335">
        <v>3457686.16131304</v>
      </c>
      <c r="N77" s="356"/>
    </row>
    <row r="78" spans="1:14">
      <c r="A78" s="344"/>
      <c r="B78" s="343" t="s">
        <v>389</v>
      </c>
      <c r="C78" s="335">
        <v>317890.855331</v>
      </c>
      <c r="D78" s="335">
        <v>17312.471771</v>
      </c>
      <c r="E78" s="335">
        <v>35975.928793</v>
      </c>
      <c r="F78" s="335">
        <v>1176784.69540818</v>
      </c>
      <c r="G78" s="335">
        <v>27651.500649</v>
      </c>
      <c r="H78" s="335">
        <v>352772.003647</v>
      </c>
      <c r="I78" s="335">
        <v>260540.944436</v>
      </c>
      <c r="J78" s="335">
        <v>740617.901423</v>
      </c>
      <c r="K78" s="335">
        <v>85160.576299</v>
      </c>
      <c r="L78" s="335">
        <v>2.282523</v>
      </c>
      <c r="M78" s="335">
        <v>3014709.16028018</v>
      </c>
      <c r="N78" s="356"/>
    </row>
    <row r="79" spans="1:14">
      <c r="A79" s="344"/>
      <c r="B79" s="343" t="s">
        <v>390</v>
      </c>
      <c r="C79" s="335">
        <v>364417.505433</v>
      </c>
      <c r="D79" s="335">
        <v>9783.485714</v>
      </c>
      <c r="E79" s="335">
        <v>50210.470306</v>
      </c>
      <c r="F79" s="335">
        <v>810486.907699105</v>
      </c>
      <c r="G79" s="335">
        <v>10103.481159</v>
      </c>
      <c r="H79" s="335">
        <v>385751.608082</v>
      </c>
      <c r="I79" s="335">
        <v>224729.257628</v>
      </c>
      <c r="J79" s="335">
        <v>649876.443762</v>
      </c>
      <c r="K79" s="335">
        <v>76022.450616</v>
      </c>
      <c r="L79" s="335">
        <v>0.36441</v>
      </c>
      <c r="M79" s="335">
        <v>2581381.9748091</v>
      </c>
      <c r="N79" s="356"/>
    </row>
    <row r="80" spans="1:15">
      <c r="A80" s="352">
        <v>2024</v>
      </c>
      <c r="B80" s="343" t="s">
        <v>379</v>
      </c>
      <c r="C80" s="335">
        <v>474613.883644</v>
      </c>
      <c r="D80" s="335">
        <v>10701.643479</v>
      </c>
      <c r="E80" s="335">
        <v>45984.411474</v>
      </c>
      <c r="F80" s="335">
        <v>1352618.96636046</v>
      </c>
      <c r="G80" s="335">
        <v>36465.064787</v>
      </c>
      <c r="H80" s="335">
        <v>488604.424215</v>
      </c>
      <c r="I80" s="335">
        <v>307427.899014</v>
      </c>
      <c r="J80" s="335">
        <v>902496.282498</v>
      </c>
      <c r="K80" s="335">
        <v>97282.146408</v>
      </c>
      <c r="L80" s="335">
        <v>0.809497</v>
      </c>
      <c r="M80" s="335">
        <v>3716195.53137646</v>
      </c>
      <c r="N80" s="356"/>
      <c r="O80" s="53"/>
    </row>
    <row r="81" spans="1:15">
      <c r="A81" s="344"/>
      <c r="B81" s="343" t="s">
        <v>380</v>
      </c>
      <c r="C81" s="335">
        <v>450292.297177</v>
      </c>
      <c r="D81" s="335">
        <v>17651.831222</v>
      </c>
      <c r="E81" s="335">
        <v>55281.300399</v>
      </c>
      <c r="F81" s="335">
        <v>2909717.44628715</v>
      </c>
      <c r="G81" s="335">
        <v>22944.924756</v>
      </c>
      <c r="H81" s="335">
        <v>601991.408611</v>
      </c>
      <c r="I81" s="335">
        <v>313230.084416</v>
      </c>
      <c r="J81" s="335">
        <v>974993.81112</v>
      </c>
      <c r="K81" s="335">
        <v>111043.469408</v>
      </c>
      <c r="L81" s="335">
        <v>0</v>
      </c>
      <c r="M81" s="335">
        <v>5457146.57339615</v>
      </c>
      <c r="N81" s="356"/>
      <c r="O81" s="53"/>
    </row>
    <row r="82" spans="1:15">
      <c r="A82" s="344"/>
      <c r="B82" s="343" t="s">
        <v>391</v>
      </c>
      <c r="C82" s="335">
        <v>576995.374513</v>
      </c>
      <c r="D82" s="335">
        <v>21804.728379</v>
      </c>
      <c r="E82" s="335">
        <v>92068.264062</v>
      </c>
      <c r="F82" s="335">
        <v>2280546.30286104</v>
      </c>
      <c r="G82" s="335">
        <v>14033.614902</v>
      </c>
      <c r="H82" s="335">
        <v>695829.604354</v>
      </c>
      <c r="I82" s="335">
        <v>473102.25046</v>
      </c>
      <c r="J82" s="335">
        <v>1292859.004286</v>
      </c>
      <c r="K82" s="335">
        <v>128942.848034</v>
      </c>
      <c r="L82" s="335">
        <v>0.052872</v>
      </c>
      <c r="M82" s="335">
        <v>5576182.04472304</v>
      </c>
      <c r="N82" s="356"/>
      <c r="O82" s="53"/>
    </row>
    <row r="83" spans="1:15">
      <c r="A83" s="344"/>
      <c r="B83" s="343" t="s">
        <v>382</v>
      </c>
      <c r="C83" s="353">
        <v>386919.846767</v>
      </c>
      <c r="D83" s="353">
        <v>19208.196269</v>
      </c>
      <c r="E83" s="353">
        <v>84954.149558</v>
      </c>
      <c r="F83" s="353">
        <v>1999422.1954977</v>
      </c>
      <c r="G83" s="353">
        <v>42569.76046</v>
      </c>
      <c r="H83" s="353">
        <v>617977.215509</v>
      </c>
      <c r="I83" s="353">
        <v>385803.668881</v>
      </c>
      <c r="J83" s="353">
        <v>924985.81032</v>
      </c>
      <c r="K83" s="353">
        <v>117516.42592</v>
      </c>
      <c r="L83" s="353">
        <v>39.506668</v>
      </c>
      <c r="M83" s="335">
        <v>4579396.7758497</v>
      </c>
      <c r="N83" s="356"/>
      <c r="O83" s="53"/>
    </row>
    <row r="84" spans="1:15">
      <c r="A84" s="344"/>
      <c r="B84" s="343" t="s">
        <v>383</v>
      </c>
      <c r="C84" s="353">
        <v>573582.486495</v>
      </c>
      <c r="D84" s="353">
        <v>10410.178171</v>
      </c>
      <c r="E84" s="353">
        <v>99582.487934</v>
      </c>
      <c r="F84" s="353">
        <v>2502156.21128862</v>
      </c>
      <c r="G84" s="353">
        <v>11463.101567</v>
      </c>
      <c r="H84" s="353">
        <v>736837.951435</v>
      </c>
      <c r="I84" s="353">
        <v>330321.022775</v>
      </c>
      <c r="J84" s="353">
        <v>1014048.667347</v>
      </c>
      <c r="K84" s="353">
        <v>113751.139852</v>
      </c>
      <c r="L84" s="353">
        <v>0</v>
      </c>
      <c r="M84" s="335">
        <v>5392153.24686462</v>
      </c>
      <c r="N84" s="356"/>
      <c r="O84" s="53"/>
    </row>
    <row r="85" spans="1:15">
      <c r="A85" s="344"/>
      <c r="B85" s="343" t="s">
        <v>384</v>
      </c>
      <c r="C85" s="335">
        <v>464465.517198</v>
      </c>
      <c r="D85" s="335">
        <v>13340.257726</v>
      </c>
      <c r="E85" s="335">
        <v>65005.563353</v>
      </c>
      <c r="F85" s="335">
        <v>1409416.75073244</v>
      </c>
      <c r="G85" s="335">
        <v>16275.052456</v>
      </c>
      <c r="H85" s="335">
        <v>531688.789945</v>
      </c>
      <c r="I85" s="335">
        <v>415104.162695</v>
      </c>
      <c r="J85" s="335">
        <v>939658.575163</v>
      </c>
      <c r="K85" s="335">
        <v>142836.082414</v>
      </c>
      <c r="L85" s="335">
        <v>0.549364</v>
      </c>
      <c r="M85" s="335">
        <v>3997791.30104644</v>
      </c>
      <c r="N85" s="356"/>
      <c r="O85" s="53"/>
    </row>
    <row r="86" spans="1:15">
      <c r="A86" s="344"/>
      <c r="B86" s="343" t="s">
        <v>385</v>
      </c>
      <c r="C86" s="335">
        <v>549319.129394</v>
      </c>
      <c r="D86" s="335">
        <v>14974.201098</v>
      </c>
      <c r="E86" s="335">
        <v>68881.339006</v>
      </c>
      <c r="F86" s="335">
        <v>1716658.30652028</v>
      </c>
      <c r="G86" s="335">
        <v>5560.204111</v>
      </c>
      <c r="H86" s="335">
        <v>704416.169694</v>
      </c>
      <c r="I86" s="335">
        <v>441548.900976</v>
      </c>
      <c r="J86" s="335">
        <v>1242244.010914</v>
      </c>
      <c r="K86" s="335">
        <v>228186.887978</v>
      </c>
      <c r="L86" s="335">
        <v>80.328769</v>
      </c>
      <c r="M86" s="335">
        <v>4971869.47846028</v>
      </c>
      <c r="N86" s="356"/>
      <c r="O86" s="53"/>
    </row>
    <row r="87" spans="1:15">
      <c r="A87" s="344"/>
      <c r="B87" s="343" t="s">
        <v>386</v>
      </c>
      <c r="C87" s="335">
        <v>483362.473808</v>
      </c>
      <c r="D87" s="335">
        <v>17120.658582</v>
      </c>
      <c r="E87" s="335">
        <v>61018.826063</v>
      </c>
      <c r="F87" s="335">
        <v>2627218.51312888</v>
      </c>
      <c r="G87" s="335">
        <v>36254.156472</v>
      </c>
      <c r="H87" s="335">
        <v>654495.935942</v>
      </c>
      <c r="I87" s="335">
        <v>392645.371165</v>
      </c>
      <c r="J87" s="335">
        <v>1107791.056933</v>
      </c>
      <c r="K87" s="335">
        <v>166005.135189</v>
      </c>
      <c r="L87" s="335">
        <v>3.050567</v>
      </c>
      <c r="M87" s="335">
        <v>5545915.17784988</v>
      </c>
      <c r="N87" s="356"/>
      <c r="O87" s="53"/>
    </row>
    <row r="88" spans="1:15">
      <c r="A88" s="344"/>
      <c r="B88" s="343" t="s">
        <v>387</v>
      </c>
      <c r="C88" s="335">
        <v>455343.67567</v>
      </c>
      <c r="D88" s="335">
        <v>24260.840391</v>
      </c>
      <c r="E88" s="335">
        <v>74492.76385</v>
      </c>
      <c r="F88" s="335">
        <v>1403356.04287443</v>
      </c>
      <c r="G88" s="335">
        <v>43508.686137</v>
      </c>
      <c r="H88" s="335">
        <v>614100.230776</v>
      </c>
      <c r="I88" s="335">
        <v>488494.173094</v>
      </c>
      <c r="J88" s="335">
        <v>1432150.869544</v>
      </c>
      <c r="K88" s="335">
        <v>227572.318292</v>
      </c>
      <c r="L88" s="335">
        <v>113.579943</v>
      </c>
      <c r="M88" s="335">
        <v>4763393.18057143</v>
      </c>
      <c r="N88" s="356"/>
      <c r="O88" s="53"/>
    </row>
    <row r="89" spans="1:15">
      <c r="A89" s="344"/>
      <c r="B89" s="343" t="s">
        <v>388</v>
      </c>
      <c r="C89" s="335">
        <v>542364.049735</v>
      </c>
      <c r="D89" s="335">
        <v>27769.382377</v>
      </c>
      <c r="E89" s="335">
        <v>89752.54598</v>
      </c>
      <c r="F89" s="335">
        <v>1558044.11365427</v>
      </c>
      <c r="G89" s="335">
        <v>48486.371675</v>
      </c>
      <c r="H89" s="335">
        <v>912476.32972</v>
      </c>
      <c r="I89" s="335">
        <v>474680.495458</v>
      </c>
      <c r="J89" s="335">
        <v>1670693.782873</v>
      </c>
      <c r="K89" s="335">
        <v>159737.840652</v>
      </c>
      <c r="L89" s="335">
        <v>63.503038</v>
      </c>
      <c r="M89" s="335">
        <v>5484068.41516227</v>
      </c>
      <c r="N89" s="356"/>
      <c r="O89" s="53"/>
    </row>
    <row r="90" spans="1:15">
      <c r="A90" s="344"/>
      <c r="B90" s="343" t="s">
        <v>389</v>
      </c>
      <c r="C90" s="335">
        <v>526684.964912</v>
      </c>
      <c r="D90" s="335">
        <v>20442.662877</v>
      </c>
      <c r="E90" s="335">
        <v>87762.582286</v>
      </c>
      <c r="F90" s="335">
        <v>2125201.14853365</v>
      </c>
      <c r="G90" s="335">
        <v>87590.248202</v>
      </c>
      <c r="H90" s="335">
        <v>851871.797512</v>
      </c>
      <c r="I90" s="335">
        <v>517405.842952</v>
      </c>
      <c r="J90" s="335">
        <v>1265593.820091</v>
      </c>
      <c r="K90" s="335">
        <v>185399.37307</v>
      </c>
      <c r="L90" s="335">
        <v>10.004497</v>
      </c>
      <c r="M90" s="335">
        <v>5667962.44493265</v>
      </c>
      <c r="N90" s="356"/>
      <c r="O90" s="53"/>
    </row>
    <row r="91" spans="1:15">
      <c r="A91" s="344"/>
      <c r="B91" s="343" t="s">
        <v>390</v>
      </c>
      <c r="C91" s="335">
        <v>646361.28459</v>
      </c>
      <c r="D91" s="335">
        <v>11291.087054</v>
      </c>
      <c r="E91" s="335">
        <v>88314.452727</v>
      </c>
      <c r="F91" s="335">
        <v>1114227.87089287</v>
      </c>
      <c r="G91" s="335">
        <v>52994.831706</v>
      </c>
      <c r="H91" s="335">
        <v>844799.938412</v>
      </c>
      <c r="I91" s="335">
        <v>468826.893492</v>
      </c>
      <c r="J91" s="335">
        <v>1572108.577978</v>
      </c>
      <c r="K91" s="335">
        <v>639547.561293</v>
      </c>
      <c r="L91" s="335">
        <v>2.174276</v>
      </c>
      <c r="M91" s="335">
        <v>5438474.67242087</v>
      </c>
      <c r="N91" s="356"/>
      <c r="O91" s="53"/>
    </row>
    <row r="92" spans="1:15">
      <c r="A92" s="240">
        <v>2025</v>
      </c>
      <c r="B92" s="354" t="s">
        <v>379</v>
      </c>
      <c r="C92" s="349">
        <v>588288.546778</v>
      </c>
      <c r="D92" s="349">
        <v>29223.970971</v>
      </c>
      <c r="E92" s="349">
        <v>131961.110015</v>
      </c>
      <c r="F92" s="349">
        <v>1596753.0541467</v>
      </c>
      <c r="G92" s="349">
        <v>31452.345484</v>
      </c>
      <c r="H92" s="349">
        <v>819096.536329</v>
      </c>
      <c r="I92" s="349">
        <v>528837.815641</v>
      </c>
      <c r="J92" s="349">
        <v>1557863.054516</v>
      </c>
      <c r="K92" s="349">
        <v>210252.046674</v>
      </c>
      <c r="L92" s="349">
        <v>0</v>
      </c>
      <c r="M92" s="349">
        <v>5493728.4805547</v>
      </c>
      <c r="N92" s="357"/>
      <c r="O92" s="53"/>
    </row>
    <row r="93" spans="1:15">
      <c r="A93" s="344"/>
      <c r="B93" s="354" t="s">
        <v>380</v>
      </c>
      <c r="C93" s="349">
        <v>452027.289093</v>
      </c>
      <c r="D93" s="349">
        <v>13571.37364</v>
      </c>
      <c r="E93" s="349">
        <v>105750.45326</v>
      </c>
      <c r="F93" s="349">
        <v>2032866.81111454</v>
      </c>
      <c r="G93" s="349">
        <v>20987.647079</v>
      </c>
      <c r="H93" s="349">
        <v>670587.822863</v>
      </c>
      <c r="I93" s="349">
        <v>504374.269102</v>
      </c>
      <c r="J93" s="349">
        <v>1181904.373889</v>
      </c>
      <c r="K93" s="349">
        <v>152097.921021</v>
      </c>
      <c r="L93" s="349">
        <v>23.181349</v>
      </c>
      <c r="M93" s="349">
        <v>5134191.14241054</v>
      </c>
      <c r="N93" s="357"/>
      <c r="O93" s="53"/>
    </row>
    <row r="94" spans="1:15">
      <c r="A94" s="344"/>
      <c r="B94" s="354" t="s">
        <v>391</v>
      </c>
      <c r="C94" s="349">
        <v>506769.912646</v>
      </c>
      <c r="D94" s="349">
        <v>20131.52909</v>
      </c>
      <c r="E94" s="349">
        <v>123497.9395</v>
      </c>
      <c r="F94" s="349">
        <v>1342797.64837538</v>
      </c>
      <c r="G94" s="349">
        <v>45911.382887</v>
      </c>
      <c r="H94" s="349">
        <v>741457.709018</v>
      </c>
      <c r="I94" s="349">
        <v>528374.271844</v>
      </c>
      <c r="J94" s="349">
        <v>1318771.97723</v>
      </c>
      <c r="K94" s="349">
        <v>170542.323026</v>
      </c>
      <c r="L94" s="349">
        <v>0.428462</v>
      </c>
      <c r="M94" s="349">
        <v>4798255.12207838</v>
      </c>
      <c r="N94" s="357"/>
      <c r="O94" s="53"/>
    </row>
    <row r="95" spans="3:13">
      <c r="C95" s="355"/>
      <c r="D95" s="355"/>
      <c r="E95" s="355"/>
      <c r="F95" s="355"/>
      <c r="G95" s="355"/>
      <c r="H95" s="355"/>
      <c r="I95" s="355"/>
      <c r="J95" s="355"/>
      <c r="K95" s="355"/>
      <c r="L95" s="355"/>
      <c r="M95" s="355"/>
    </row>
    <row r="96" spans="13:13">
      <c r="M96" s="327"/>
    </row>
  </sheetData>
  <mergeCells count="1">
    <mergeCell ref="A3:M3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zoomScale="70" zoomScaleNormal="70" workbookViewId="0">
      <selection activeCell="A9" sqref="A9"/>
    </sheetView>
  </sheetViews>
  <sheetFormatPr defaultColWidth="8.81481481481481" defaultRowHeight="14.4"/>
  <cols>
    <col min="1" max="1" width="50.6296296296296" style="283" customWidth="1"/>
    <col min="2" max="3" width="19.7222222222222" style="284" customWidth="1"/>
    <col min="4" max="4" width="19.7222222222222" style="283" customWidth="1"/>
    <col min="5" max="5" width="16.3611111111111" style="283" customWidth="1"/>
    <col min="6" max="6" width="17.1759259259259" style="283" customWidth="1"/>
    <col min="7" max="12" width="18.2685185185185" style="283" customWidth="1"/>
    <col min="13" max="13" width="14.2685185185185" style="135" customWidth="1"/>
    <col min="14" max="16384" width="8.81481481481481" style="135"/>
  </cols>
  <sheetData>
    <row r="1" spans="11:12">
      <c r="K1" s="314"/>
      <c r="L1" s="314"/>
    </row>
    <row r="2" ht="17.4" spans="1:12">
      <c r="A2" s="285" t="s">
        <v>595</v>
      </c>
      <c r="B2" s="286"/>
      <c r="C2" s="286"/>
      <c r="D2" s="286"/>
      <c r="E2" s="286"/>
      <c r="F2" s="286"/>
      <c r="G2" s="286"/>
      <c r="H2" s="286"/>
      <c r="I2" s="286"/>
      <c r="J2" s="286"/>
      <c r="K2" s="315"/>
      <c r="L2" s="135"/>
    </row>
    <row r="3" ht="17.4" spans="1:12">
      <c r="A3" s="287"/>
      <c r="B3" s="288">
        <v>2020</v>
      </c>
      <c r="C3" s="289" t="s">
        <v>369</v>
      </c>
      <c r="D3" s="288" t="s">
        <v>370</v>
      </c>
      <c r="E3" s="288" t="s">
        <v>596</v>
      </c>
      <c r="F3" s="288" t="s">
        <v>372</v>
      </c>
      <c r="G3" s="290" t="s">
        <v>396</v>
      </c>
      <c r="H3" s="290" t="s">
        <v>397</v>
      </c>
      <c r="I3" s="290" t="s">
        <v>398</v>
      </c>
      <c r="J3" s="290" t="s">
        <v>399</v>
      </c>
      <c r="K3" s="290" t="s">
        <v>400</v>
      </c>
      <c r="L3" s="290" t="s">
        <v>401</v>
      </c>
    </row>
    <row r="4" ht="17.4" spans="1:12">
      <c r="A4" s="291" t="s">
        <v>597</v>
      </c>
      <c r="B4" s="292"/>
      <c r="C4" s="292"/>
      <c r="D4" s="287"/>
      <c r="E4" s="287"/>
      <c r="F4" s="287"/>
      <c r="G4" s="293"/>
      <c r="H4" s="293"/>
      <c r="I4" s="316"/>
      <c r="J4" s="293"/>
      <c r="K4" s="317"/>
      <c r="L4" s="317"/>
    </row>
    <row r="5" s="282" customFormat="1" ht="17.4" spans="1:12">
      <c r="A5" s="294" t="s">
        <v>598</v>
      </c>
      <c r="B5" s="295">
        <v>1804392.195325</v>
      </c>
      <c r="C5" s="296">
        <v>2924630.378086</v>
      </c>
      <c r="D5" s="297">
        <v>2864125.298144</v>
      </c>
      <c r="E5" s="297">
        <v>3825114.26213</v>
      </c>
      <c r="F5" s="297">
        <v>6578810.079439</v>
      </c>
      <c r="G5" s="297">
        <v>419051.42491</v>
      </c>
      <c r="H5" s="297">
        <v>599893.640228</v>
      </c>
      <c r="I5" s="297">
        <v>674157.928807</v>
      </c>
      <c r="J5" s="297">
        <v>740104.300482</v>
      </c>
      <c r="K5" s="297">
        <v>1592241.160087</v>
      </c>
      <c r="L5" s="130">
        <v>1670960.455589</v>
      </c>
    </row>
    <row r="6" s="282" customFormat="1" ht="17.4" spans="1:12">
      <c r="A6" s="291" t="s">
        <v>599</v>
      </c>
      <c r="B6" s="298">
        <v>928368.676434</v>
      </c>
      <c r="C6" s="299">
        <v>1562424.971265</v>
      </c>
      <c r="D6" s="300">
        <v>1509637.796946</v>
      </c>
      <c r="E6" s="300">
        <v>1783576.814383</v>
      </c>
      <c r="F6" s="300">
        <v>2895680.864734</v>
      </c>
      <c r="G6" s="300">
        <v>218170.196668</v>
      </c>
      <c r="H6" s="300">
        <v>299830.321771</v>
      </c>
      <c r="I6" s="300">
        <v>364365.705894</v>
      </c>
      <c r="J6" s="300">
        <v>374949.409214</v>
      </c>
      <c r="K6" s="300">
        <v>726755.977022</v>
      </c>
      <c r="L6" s="130">
        <v>730012.12577</v>
      </c>
    </row>
    <row r="7" ht="17.4" spans="1:12">
      <c r="A7" s="287" t="s">
        <v>600</v>
      </c>
      <c r="B7" s="301">
        <v>590206.128056</v>
      </c>
      <c r="C7" s="302">
        <v>1095732.82843</v>
      </c>
      <c r="D7" s="303">
        <v>980198.608529</v>
      </c>
      <c r="E7" s="304">
        <v>1217899.743473</v>
      </c>
      <c r="F7" s="304">
        <v>1559689.466877</v>
      </c>
      <c r="G7" s="304">
        <v>135125.666102</v>
      </c>
      <c r="H7" s="304">
        <v>201052.729914</v>
      </c>
      <c r="I7" s="304">
        <v>263115.59728</v>
      </c>
      <c r="J7" s="304">
        <v>252748.917437</v>
      </c>
      <c r="K7" s="151">
        <v>540109.782528</v>
      </c>
      <c r="L7" s="275">
        <v>425624.836783</v>
      </c>
    </row>
    <row r="8" ht="17.4" spans="1:12">
      <c r="A8" s="287" t="s">
        <v>601</v>
      </c>
      <c r="B8" s="301">
        <v>338162.548378</v>
      </c>
      <c r="C8" s="302">
        <v>466692.142835</v>
      </c>
      <c r="D8" s="303">
        <v>529439.188417</v>
      </c>
      <c r="E8" s="304">
        <v>565677.07091</v>
      </c>
      <c r="F8" s="304">
        <v>1335991.397857</v>
      </c>
      <c r="G8" s="304">
        <v>83044.530566</v>
      </c>
      <c r="H8" s="304">
        <v>98777.591857</v>
      </c>
      <c r="I8" s="304">
        <v>101250.108614</v>
      </c>
      <c r="J8" s="304">
        <v>122200.491777</v>
      </c>
      <c r="K8" s="151">
        <v>186646.194494</v>
      </c>
      <c r="L8" s="275">
        <v>304387.288987</v>
      </c>
    </row>
    <row r="9" s="282" customFormat="1" ht="17.4" spans="1:12">
      <c r="A9" s="291" t="s">
        <v>602</v>
      </c>
      <c r="B9" s="298">
        <v>876023.518891</v>
      </c>
      <c r="C9" s="299">
        <v>1362205.406821</v>
      </c>
      <c r="D9" s="300">
        <v>1354487.501198</v>
      </c>
      <c r="E9" s="300">
        <v>2041537.447747</v>
      </c>
      <c r="F9" s="300">
        <v>3683129.214705</v>
      </c>
      <c r="G9" s="300">
        <v>200881.228242</v>
      </c>
      <c r="H9" s="300">
        <v>300063.318457</v>
      </c>
      <c r="I9" s="300">
        <v>309792.222913</v>
      </c>
      <c r="J9" s="300">
        <v>365154.891268</v>
      </c>
      <c r="K9" s="300">
        <v>865485.183065</v>
      </c>
      <c r="L9" s="130">
        <v>940948.329819</v>
      </c>
    </row>
    <row r="10" ht="17.4" spans="1:12">
      <c r="A10" s="287" t="s">
        <v>603</v>
      </c>
      <c r="B10" s="301">
        <v>495940.677477</v>
      </c>
      <c r="C10" s="302">
        <v>827736.708381</v>
      </c>
      <c r="D10" s="303">
        <v>843735.889249</v>
      </c>
      <c r="E10" s="304">
        <v>1292078.435365</v>
      </c>
      <c r="F10" s="304">
        <v>2172647.447931</v>
      </c>
      <c r="G10" s="304">
        <v>117768.876219</v>
      </c>
      <c r="H10" s="304">
        <v>149464.034209</v>
      </c>
      <c r="I10" s="304">
        <v>186297.544675</v>
      </c>
      <c r="J10" s="304">
        <v>229995.794961</v>
      </c>
      <c r="K10" s="151">
        <v>507213.036899</v>
      </c>
      <c r="L10" s="275">
        <v>590370.956332</v>
      </c>
    </row>
    <row r="11" ht="17.4" spans="1:12">
      <c r="A11" s="287" t="s">
        <v>604</v>
      </c>
      <c r="B11" s="301">
        <v>380082.841414</v>
      </c>
      <c r="C11" s="302">
        <v>534468.69844</v>
      </c>
      <c r="D11" s="303">
        <v>510751.611949</v>
      </c>
      <c r="E11" s="304">
        <v>749459.012382</v>
      </c>
      <c r="F11" s="304">
        <v>1510481.766774</v>
      </c>
      <c r="G11" s="304">
        <v>83112.352023</v>
      </c>
      <c r="H11" s="304">
        <v>150599.284248</v>
      </c>
      <c r="I11" s="304">
        <v>123494.678238</v>
      </c>
      <c r="J11" s="304">
        <v>135159.096307</v>
      </c>
      <c r="K11" s="151">
        <v>358272.146166</v>
      </c>
      <c r="L11" s="275">
        <v>350577.373487</v>
      </c>
    </row>
    <row r="12" s="282" customFormat="1" ht="17.4" spans="1:12">
      <c r="A12" s="294" t="s">
        <v>605</v>
      </c>
      <c r="B12" s="295">
        <v>3090815.901796</v>
      </c>
      <c r="C12" s="296">
        <v>4383181.27185</v>
      </c>
      <c r="D12" s="305">
        <v>5284803.180062</v>
      </c>
      <c r="E12" s="305">
        <v>5826311.311356</v>
      </c>
      <c r="F12" s="305">
        <v>13414497.132736</v>
      </c>
      <c r="G12" s="305">
        <v>706664.062031</v>
      </c>
      <c r="H12" s="305">
        <v>808579.712086</v>
      </c>
      <c r="I12" s="300">
        <v>1268014.621739</v>
      </c>
      <c r="J12" s="300">
        <v>1106743.470861</v>
      </c>
      <c r="K12" s="300">
        <v>2856418.755234</v>
      </c>
      <c r="L12" s="130">
        <v>3803777.821619</v>
      </c>
    </row>
    <row r="13" ht="17.4" spans="1:12">
      <c r="A13" s="287" t="s">
        <v>606</v>
      </c>
      <c r="B13" s="301">
        <v>145411.339267</v>
      </c>
      <c r="C13" s="302">
        <v>169476.502557</v>
      </c>
      <c r="D13" s="303">
        <v>225017.682232</v>
      </c>
      <c r="E13" s="304">
        <v>248648.779687</v>
      </c>
      <c r="F13" s="304">
        <v>722655.613851</v>
      </c>
      <c r="G13" s="304">
        <v>33232.472279</v>
      </c>
      <c r="H13" s="304">
        <v>37891.836662</v>
      </c>
      <c r="I13" s="304">
        <v>64570.924852</v>
      </c>
      <c r="J13" s="304">
        <v>62075.489389</v>
      </c>
      <c r="K13" s="151">
        <v>120123.370711</v>
      </c>
      <c r="L13" s="275">
        <v>306265.164057</v>
      </c>
    </row>
    <row r="14" ht="17.4" spans="1:12">
      <c r="A14" s="287" t="s">
        <v>607</v>
      </c>
      <c r="B14" s="301">
        <v>2945404.562529</v>
      </c>
      <c r="C14" s="302">
        <v>4213704.769293</v>
      </c>
      <c r="D14" s="303">
        <v>5059785.49783</v>
      </c>
      <c r="E14" s="304">
        <v>5577662.531669</v>
      </c>
      <c r="F14" s="304">
        <v>12691841.518885</v>
      </c>
      <c r="G14" s="304">
        <v>673431.589752</v>
      </c>
      <c r="H14" s="304">
        <v>770687.875424</v>
      </c>
      <c r="I14" s="304">
        <v>1203443.696887</v>
      </c>
      <c r="J14" s="304">
        <v>1044667.981472</v>
      </c>
      <c r="K14" s="151">
        <v>2736295.384523</v>
      </c>
      <c r="L14" s="275">
        <v>3497512.657562</v>
      </c>
    </row>
    <row r="15" s="282" customFormat="1" ht="17.4" spans="1:12">
      <c r="A15" s="294" t="s">
        <v>608</v>
      </c>
      <c r="B15" s="295">
        <v>2840382.535936</v>
      </c>
      <c r="C15" s="296">
        <v>6339830.98607992</v>
      </c>
      <c r="D15" s="296">
        <v>10070520.9496482</v>
      </c>
      <c r="E15" s="296">
        <v>11846117.6426166</v>
      </c>
      <c r="F15" s="296">
        <v>22681087.9225338</v>
      </c>
      <c r="G15" s="296">
        <v>1148694.005493</v>
      </c>
      <c r="H15" s="296">
        <v>1671921.65601992</v>
      </c>
      <c r="I15" s="300">
        <v>3471590.32955554</v>
      </c>
      <c r="J15" s="300">
        <v>2961163.34311416</v>
      </c>
      <c r="K15" s="300">
        <v>6497649.98117765</v>
      </c>
      <c r="L15" s="130">
        <v>4880801.08195462</v>
      </c>
    </row>
    <row r="16" ht="17.4" spans="1:12">
      <c r="A16" s="291" t="s">
        <v>609</v>
      </c>
      <c r="B16" s="301">
        <v>2374.458118</v>
      </c>
      <c r="C16" s="302">
        <v>8794.82344</v>
      </c>
      <c r="D16" s="303">
        <v>23076.669708</v>
      </c>
      <c r="E16" s="304">
        <v>3433.525592</v>
      </c>
      <c r="F16" s="304">
        <v>3130.90671</v>
      </c>
      <c r="G16" s="304">
        <v>1165.042066</v>
      </c>
      <c r="H16" s="304">
        <v>2909.208363</v>
      </c>
      <c r="I16" s="304">
        <v>3941.034049</v>
      </c>
      <c r="J16" s="304">
        <v>3266.057917</v>
      </c>
      <c r="K16" s="151">
        <v>7.094014</v>
      </c>
      <c r="L16" s="275">
        <v>1188674.890062</v>
      </c>
    </row>
    <row r="17" s="282" customFormat="1" ht="17.4" spans="1:12">
      <c r="A17" s="291" t="s">
        <v>610</v>
      </c>
      <c r="B17" s="298">
        <v>2838008.077818</v>
      </c>
      <c r="C17" s="299">
        <v>6331036.16263992</v>
      </c>
      <c r="D17" s="300">
        <v>10047444.2799402</v>
      </c>
      <c r="E17" s="300">
        <v>11842684.1170246</v>
      </c>
      <c r="F17" s="300">
        <v>22677957.0158238</v>
      </c>
      <c r="G17" s="300">
        <v>1147528.963427</v>
      </c>
      <c r="H17" s="300">
        <v>1669012.44765692</v>
      </c>
      <c r="I17" s="300">
        <v>3467649.29550654</v>
      </c>
      <c r="J17" s="300">
        <v>2957897.28519716</v>
      </c>
      <c r="K17" s="300">
        <v>6497642.88716365</v>
      </c>
      <c r="L17" s="130">
        <v>3692126.19189262</v>
      </c>
    </row>
    <row r="18" ht="17.4" spans="1:12">
      <c r="A18" s="287" t="s">
        <v>611</v>
      </c>
      <c r="B18" s="301">
        <v>2007581.431837</v>
      </c>
      <c r="C18" s="302">
        <v>4563500.48727792</v>
      </c>
      <c r="D18" s="303">
        <v>7705048.61029416</v>
      </c>
      <c r="E18" s="304">
        <v>7511584.89328431</v>
      </c>
      <c r="F18" s="304">
        <v>15418508.6056476</v>
      </c>
      <c r="G18" s="304">
        <v>732018.024031</v>
      </c>
      <c r="H18" s="304">
        <v>1294609.29872092</v>
      </c>
      <c r="I18" s="304">
        <v>2694899.35665398</v>
      </c>
      <c r="J18" s="304">
        <v>2033803.1250112</v>
      </c>
      <c r="K18" s="151">
        <v>3813113.91133794</v>
      </c>
      <c r="L18" s="275">
        <v>1761376.94710766</v>
      </c>
    </row>
    <row r="19" ht="17.4" spans="1:12">
      <c r="A19" s="287" t="s">
        <v>612</v>
      </c>
      <c r="B19" s="301">
        <v>830426.645981</v>
      </c>
      <c r="C19" s="302">
        <v>1767535.675362</v>
      </c>
      <c r="D19" s="303">
        <v>2342395.66964606</v>
      </c>
      <c r="E19" s="304">
        <v>4331099.22374032</v>
      </c>
      <c r="F19" s="304">
        <v>7259448.41017615</v>
      </c>
      <c r="G19" s="304">
        <v>415510.939396</v>
      </c>
      <c r="H19" s="304">
        <v>374403.148936</v>
      </c>
      <c r="I19" s="304">
        <v>772749.938852563</v>
      </c>
      <c r="J19" s="304">
        <v>924094.160185964</v>
      </c>
      <c r="K19" s="151">
        <v>2684528.97582571</v>
      </c>
      <c r="L19" s="275">
        <v>1930749.24478496</v>
      </c>
    </row>
    <row r="20" s="282" customFormat="1" ht="17.4" spans="1:12">
      <c r="A20" s="294" t="s">
        <v>613</v>
      </c>
      <c r="B20" s="295">
        <v>3012713.387667</v>
      </c>
      <c r="C20" s="296">
        <v>4222247.489378</v>
      </c>
      <c r="D20" s="305">
        <v>4078340.215492</v>
      </c>
      <c r="E20" s="305">
        <v>4503351.154002</v>
      </c>
      <c r="F20" s="305">
        <v>9067894.638465</v>
      </c>
      <c r="G20" s="305">
        <v>777520.504624</v>
      </c>
      <c r="H20" s="305">
        <v>983378.548555</v>
      </c>
      <c r="I20" s="300">
        <v>1187365.932708</v>
      </c>
      <c r="J20" s="300">
        <v>824550.319087</v>
      </c>
      <c r="K20" s="300">
        <v>2118880.575496</v>
      </c>
      <c r="L20" s="130">
        <v>2598395.269303</v>
      </c>
    </row>
    <row r="21" ht="17.4" spans="1:12">
      <c r="A21" s="287" t="s">
        <v>614</v>
      </c>
      <c r="B21" s="301">
        <v>2108212.873765</v>
      </c>
      <c r="C21" s="302">
        <v>2973028.728195</v>
      </c>
      <c r="D21" s="303">
        <v>2712518.096577</v>
      </c>
      <c r="E21" s="304">
        <v>3121918.093377</v>
      </c>
      <c r="F21" s="304">
        <v>6169015.736921</v>
      </c>
      <c r="G21" s="304">
        <v>536998.523306</v>
      </c>
      <c r="H21" s="304">
        <v>677691.373425</v>
      </c>
      <c r="I21" s="304">
        <v>735469.749868</v>
      </c>
      <c r="J21" s="304">
        <v>589786.912297</v>
      </c>
      <c r="K21" s="151">
        <v>1573954.742291</v>
      </c>
      <c r="L21" s="275">
        <v>1777222.626213</v>
      </c>
    </row>
    <row r="22" ht="17.4" spans="1:12">
      <c r="A22" s="287" t="s">
        <v>615</v>
      </c>
      <c r="B22" s="301">
        <v>904500.513902</v>
      </c>
      <c r="C22" s="302">
        <v>1249218.761183</v>
      </c>
      <c r="D22" s="303">
        <v>1365822.118915</v>
      </c>
      <c r="E22" s="304">
        <v>1381433.060625</v>
      </c>
      <c r="F22" s="304">
        <v>2898878.901544</v>
      </c>
      <c r="G22" s="304">
        <v>240521.981318</v>
      </c>
      <c r="H22" s="304">
        <v>305687.17513</v>
      </c>
      <c r="I22" s="304">
        <v>451896.18284</v>
      </c>
      <c r="J22" s="304">
        <v>234763.40679</v>
      </c>
      <c r="K22" s="151">
        <v>544925.833205</v>
      </c>
      <c r="L22" s="275">
        <v>821172.64309</v>
      </c>
    </row>
    <row r="23" s="282" customFormat="1" ht="17.4" spans="1:12">
      <c r="A23" s="294" t="s">
        <v>616</v>
      </c>
      <c r="B23" s="295">
        <v>1217935.546819</v>
      </c>
      <c r="C23" s="296">
        <v>1676460.321154</v>
      </c>
      <c r="D23" s="305">
        <v>1884239.86481</v>
      </c>
      <c r="E23" s="305">
        <v>3149663.910174</v>
      </c>
      <c r="F23" s="305">
        <v>4768235.289348</v>
      </c>
      <c r="G23" s="305">
        <v>350084.844151</v>
      </c>
      <c r="H23" s="305">
        <v>349634.267569</v>
      </c>
      <c r="I23" s="305">
        <v>501987.87083</v>
      </c>
      <c r="J23" s="305">
        <v>412375.074388</v>
      </c>
      <c r="K23" s="305">
        <v>958521.505397</v>
      </c>
      <c r="L23" s="318">
        <v>1277399.057592</v>
      </c>
    </row>
    <row r="24" s="282" customFormat="1" ht="17.4" spans="1:12">
      <c r="A24" s="291" t="s">
        <v>617</v>
      </c>
      <c r="B24" s="298">
        <v>546794.694825</v>
      </c>
      <c r="C24" s="299">
        <v>695400.636677</v>
      </c>
      <c r="D24" s="300">
        <v>655691.960407</v>
      </c>
      <c r="E24" s="306">
        <v>1473767.604854</v>
      </c>
      <c r="F24" s="306">
        <v>1263849.835452</v>
      </c>
      <c r="G24" s="306">
        <v>125269.779712</v>
      </c>
      <c r="H24" s="306">
        <v>153664.846638</v>
      </c>
      <c r="I24" s="306">
        <v>139660.60635</v>
      </c>
      <c r="J24" s="306">
        <v>142237.102534</v>
      </c>
      <c r="K24" s="129">
        <v>238731.257623</v>
      </c>
      <c r="L24" s="130">
        <v>224582.885964</v>
      </c>
    </row>
    <row r="25" s="282" customFormat="1" ht="17.4" spans="1:12">
      <c r="A25" s="291" t="s">
        <v>618</v>
      </c>
      <c r="B25" s="298">
        <v>414467.262639</v>
      </c>
      <c r="C25" s="299">
        <v>611973.621596</v>
      </c>
      <c r="D25" s="300">
        <v>803666.483098</v>
      </c>
      <c r="E25" s="300">
        <v>963321.972416</v>
      </c>
      <c r="F25" s="300">
        <v>2172014.663368</v>
      </c>
      <c r="G25" s="300">
        <v>134191.436211</v>
      </c>
      <c r="H25" s="300">
        <v>121864.517029</v>
      </c>
      <c r="I25" s="300">
        <v>234555.879659</v>
      </c>
      <c r="J25" s="300">
        <v>181234.317422</v>
      </c>
      <c r="K25" s="300">
        <v>435311.237323</v>
      </c>
      <c r="L25" s="130">
        <v>658542.461246</v>
      </c>
    </row>
    <row r="26" ht="17.4" spans="1:12">
      <c r="A26" s="287" t="s">
        <v>619</v>
      </c>
      <c r="B26" s="301">
        <v>172398.320657</v>
      </c>
      <c r="C26" s="302">
        <v>350872.780664</v>
      </c>
      <c r="D26" s="303">
        <v>551413.166286</v>
      </c>
      <c r="E26" s="304">
        <v>674484.395317</v>
      </c>
      <c r="F26" s="304">
        <v>1615508.104097</v>
      </c>
      <c r="G26" s="304">
        <v>58629.163178</v>
      </c>
      <c r="H26" s="304">
        <v>56482.051602</v>
      </c>
      <c r="I26" s="304">
        <v>154924.296746</v>
      </c>
      <c r="J26" s="304">
        <v>135484.34071</v>
      </c>
      <c r="K26" s="151">
        <v>296792.084383</v>
      </c>
      <c r="L26" s="275">
        <v>427336.290907</v>
      </c>
    </row>
    <row r="27" ht="17.4" spans="1:12">
      <c r="A27" s="287" t="s">
        <v>620</v>
      </c>
      <c r="B27" s="301">
        <v>242068.941982</v>
      </c>
      <c r="C27" s="302">
        <v>261100.840932</v>
      </c>
      <c r="D27" s="303">
        <v>252253.316812</v>
      </c>
      <c r="E27" s="304">
        <v>288837.577099</v>
      </c>
      <c r="F27" s="304">
        <v>556506.559271</v>
      </c>
      <c r="G27" s="304">
        <v>75562.273033</v>
      </c>
      <c r="H27" s="304">
        <v>65382.465427</v>
      </c>
      <c r="I27" s="304">
        <v>79631.582913</v>
      </c>
      <c r="J27" s="304">
        <v>45749.976712</v>
      </c>
      <c r="K27" s="151">
        <v>138519.15294</v>
      </c>
      <c r="L27" s="275">
        <v>231206.170339</v>
      </c>
    </row>
    <row r="28" s="282" customFormat="1" ht="17.4" spans="1:12">
      <c r="A28" s="291" t="s">
        <v>621</v>
      </c>
      <c r="B28" s="298">
        <v>256673.589355</v>
      </c>
      <c r="C28" s="299">
        <v>369086.062881</v>
      </c>
      <c r="D28" s="300">
        <v>424881.421305</v>
      </c>
      <c r="E28" s="306">
        <v>712574.332904</v>
      </c>
      <c r="F28" s="306">
        <v>1332370.790528</v>
      </c>
      <c r="G28" s="306">
        <v>90623.628228</v>
      </c>
      <c r="H28" s="306">
        <v>74104.903902</v>
      </c>
      <c r="I28" s="306">
        <v>127771.384821</v>
      </c>
      <c r="J28" s="306">
        <v>88903.654432</v>
      </c>
      <c r="K28" s="129">
        <v>284479.010451</v>
      </c>
      <c r="L28" s="130">
        <v>394273.710382</v>
      </c>
    </row>
    <row r="29" s="282" customFormat="1" ht="17.4" spans="1:12">
      <c r="A29" s="294" t="s">
        <v>622</v>
      </c>
      <c r="B29" s="295">
        <v>681565.650652</v>
      </c>
      <c r="C29" s="296">
        <v>1222890.956998</v>
      </c>
      <c r="D29" s="305">
        <v>1391672.073587</v>
      </c>
      <c r="E29" s="305">
        <v>1488100.575164</v>
      </c>
      <c r="F29" s="305">
        <v>3126295.990487</v>
      </c>
      <c r="G29" s="305">
        <v>147473.851394</v>
      </c>
      <c r="H29" s="305">
        <v>424640.237675</v>
      </c>
      <c r="I29" s="305">
        <v>379105.217775</v>
      </c>
      <c r="J29" s="305">
        <v>273474.266925</v>
      </c>
      <c r="K29" s="305">
        <v>659303.598362</v>
      </c>
      <c r="L29" s="318">
        <v>994640.964494</v>
      </c>
    </row>
    <row r="30" ht="17.4" spans="1:12">
      <c r="A30" s="287" t="s">
        <v>623</v>
      </c>
      <c r="B30" s="301">
        <v>159037.038799</v>
      </c>
      <c r="C30" s="302">
        <v>269784.585933</v>
      </c>
      <c r="D30" s="303">
        <v>263141.439614</v>
      </c>
      <c r="E30" s="304">
        <v>300804.76589</v>
      </c>
      <c r="F30" s="304">
        <v>812785.933797</v>
      </c>
      <c r="G30" s="304">
        <v>38642.570669</v>
      </c>
      <c r="H30" s="304">
        <v>47038.257711</v>
      </c>
      <c r="I30" s="304">
        <v>81476.948755</v>
      </c>
      <c r="J30" s="304">
        <v>55519.194233</v>
      </c>
      <c r="K30" s="151">
        <v>161782.141543</v>
      </c>
      <c r="L30" s="275">
        <v>237073.650294</v>
      </c>
    </row>
    <row r="31" ht="17.4" spans="1:12">
      <c r="A31" s="287" t="s">
        <v>624</v>
      </c>
      <c r="B31" s="301">
        <v>106765.651894</v>
      </c>
      <c r="C31" s="302">
        <v>144418.639011</v>
      </c>
      <c r="D31" s="303">
        <v>339626.965346</v>
      </c>
      <c r="E31" s="304">
        <v>389374.520183</v>
      </c>
      <c r="F31" s="304">
        <v>691152.270727</v>
      </c>
      <c r="G31" s="304">
        <v>22081.490214</v>
      </c>
      <c r="H31" s="304">
        <v>34635.334216</v>
      </c>
      <c r="I31" s="304">
        <v>76237.888695</v>
      </c>
      <c r="J31" s="304">
        <v>82439.373206</v>
      </c>
      <c r="K31" s="151">
        <v>149574.290164</v>
      </c>
      <c r="L31" s="275">
        <v>296939.253663</v>
      </c>
    </row>
    <row r="32" ht="17.4" spans="1:12">
      <c r="A32" s="287" t="s">
        <v>625</v>
      </c>
      <c r="B32" s="301">
        <v>415762.959959</v>
      </c>
      <c r="C32" s="302">
        <v>808687.732054</v>
      </c>
      <c r="D32" s="303">
        <v>788903.668627</v>
      </c>
      <c r="E32" s="304">
        <v>797921.289091</v>
      </c>
      <c r="F32" s="304">
        <v>1622357.785963</v>
      </c>
      <c r="G32" s="304">
        <v>86749.790511</v>
      </c>
      <c r="H32" s="304">
        <v>342966.645748</v>
      </c>
      <c r="I32" s="304">
        <v>221390.380325</v>
      </c>
      <c r="J32" s="304">
        <v>135515.699486</v>
      </c>
      <c r="K32" s="151">
        <v>347947.166655</v>
      </c>
      <c r="L32" s="275">
        <v>460628.060537</v>
      </c>
    </row>
    <row r="33" s="282" customFormat="1" ht="17.4" spans="1:12">
      <c r="A33" s="291" t="s">
        <v>626</v>
      </c>
      <c r="B33" s="295">
        <v>53138.589631</v>
      </c>
      <c r="C33" s="296">
        <v>74723.548916</v>
      </c>
      <c r="D33" s="305">
        <v>85298.391482</v>
      </c>
      <c r="E33" s="297">
        <v>224406.68074774</v>
      </c>
      <c r="F33" s="297">
        <v>953727.789645</v>
      </c>
      <c r="G33" s="297">
        <v>27079.160829</v>
      </c>
      <c r="H33" s="297">
        <v>37139.786908</v>
      </c>
      <c r="I33" s="297">
        <v>13451.618137</v>
      </c>
      <c r="J33" s="297">
        <v>147691.609816</v>
      </c>
      <c r="K33" s="129">
        <v>66508.573742</v>
      </c>
      <c r="L33" s="130">
        <v>200200.094492</v>
      </c>
    </row>
    <row r="34" s="282" customFormat="1" ht="17.4" spans="1:12">
      <c r="A34" s="294" t="s">
        <v>627</v>
      </c>
      <c r="B34" s="295">
        <v>12700943.807826</v>
      </c>
      <c r="C34" s="296">
        <v>20843964.9524619</v>
      </c>
      <c r="D34" s="305">
        <v>25658999.9732252</v>
      </c>
      <c r="E34" s="305">
        <v>30863065.5361904</v>
      </c>
      <c r="F34" s="305">
        <v>60590548.8426538</v>
      </c>
      <c r="G34" s="305">
        <v>3576567.853432</v>
      </c>
      <c r="H34" s="305">
        <v>4875187.84904092</v>
      </c>
      <c r="I34" s="305">
        <v>7495673.51955154</v>
      </c>
      <c r="J34" s="305">
        <v>6466102.38467316</v>
      </c>
      <c r="K34" s="305">
        <v>14749524.1494957</v>
      </c>
      <c r="L34" s="318">
        <v>15426174.7450436</v>
      </c>
    </row>
    <row r="35" ht="17.4" spans="1:13">
      <c r="A35" s="287"/>
      <c r="B35" s="307"/>
      <c r="C35" s="308"/>
      <c r="D35" s="308"/>
      <c r="E35" s="309"/>
      <c r="F35" s="309"/>
      <c r="G35" s="310"/>
      <c r="H35" s="310"/>
      <c r="I35" s="319"/>
      <c r="J35" s="319"/>
      <c r="K35" s="319"/>
      <c r="L35" s="319"/>
      <c r="M35" s="147"/>
    </row>
    <row r="36" ht="17.4" spans="1:12">
      <c r="A36" s="287" t="s">
        <v>628</v>
      </c>
      <c r="B36" s="292"/>
      <c r="C36" s="311"/>
      <c r="D36" s="312"/>
      <c r="E36" s="151"/>
      <c r="F36" s="151"/>
      <c r="G36" s="287"/>
      <c r="H36" s="287"/>
      <c r="I36" s="287"/>
      <c r="J36" s="287"/>
      <c r="K36" s="287"/>
      <c r="L36" s="287"/>
    </row>
    <row r="37" ht="17.4" spans="1:12">
      <c r="A37" s="291" t="s">
        <v>598</v>
      </c>
      <c r="B37" s="301">
        <v>14.206756778289</v>
      </c>
      <c r="C37" s="301">
        <v>14.0310655134764</v>
      </c>
      <c r="D37" s="313">
        <v>11.1622639274043</v>
      </c>
      <c r="E37" s="313">
        <v>12.3938247729949</v>
      </c>
      <c r="F37" s="313">
        <v>10.8578156248813</v>
      </c>
      <c r="G37" s="313">
        <v>11.7165797513917</v>
      </c>
      <c r="H37" s="313">
        <v>12.3050364171304</v>
      </c>
      <c r="I37" s="313">
        <v>8.99396067676296</v>
      </c>
      <c r="J37" s="313">
        <v>11.4459106344542</v>
      </c>
      <c r="K37" s="313">
        <v>10.7952035872387</v>
      </c>
      <c r="L37" s="320">
        <v>10.8319818957443</v>
      </c>
    </row>
    <row r="38" ht="17.4" spans="1:12">
      <c r="A38" s="291" t="s">
        <v>599</v>
      </c>
      <c r="B38" s="301">
        <v>7.30944637249684</v>
      </c>
      <c r="C38" s="301">
        <v>7.4958146150618</v>
      </c>
      <c r="D38" s="313">
        <v>5.88346310659528</v>
      </c>
      <c r="E38" s="313">
        <v>5.7790008328614</v>
      </c>
      <c r="F38" s="313">
        <v>4.77909660837324</v>
      </c>
      <c r="G38" s="313">
        <v>6.09998763084135</v>
      </c>
      <c r="H38" s="313">
        <v>6.15012859104464</v>
      </c>
      <c r="I38" s="313">
        <v>4.86101355593459</v>
      </c>
      <c r="J38" s="313">
        <v>5.79869273494271</v>
      </c>
      <c r="K38" s="313">
        <v>4.92731812671293</v>
      </c>
      <c r="L38" s="320">
        <v>4.73229519200507</v>
      </c>
    </row>
    <row r="39" ht="17.4" spans="1:12">
      <c r="A39" s="291" t="s">
        <v>600</v>
      </c>
      <c r="B39" s="301">
        <v>4.64694700635027</v>
      </c>
      <c r="C39" s="301">
        <v>5.25683492046258</v>
      </c>
      <c r="D39" s="313">
        <v>3.82009668947279</v>
      </c>
      <c r="E39" s="313">
        <v>3.94613989995543</v>
      </c>
      <c r="F39" s="313">
        <v>2.57414645793575</v>
      </c>
      <c r="G39" s="313">
        <v>3.77808199479107</v>
      </c>
      <c r="H39" s="313">
        <v>4.12399965169655</v>
      </c>
      <c r="I39" s="313">
        <v>3.51023289092962</v>
      </c>
      <c r="J39" s="313">
        <v>3.90882949883534</v>
      </c>
      <c r="K39" s="313">
        <v>3.66187937355571</v>
      </c>
      <c r="L39" s="320">
        <v>2.75910809917249</v>
      </c>
    </row>
    <row r="40" ht="17.4" spans="1:12">
      <c r="A40" s="287" t="s">
        <v>601</v>
      </c>
      <c r="B40" s="301">
        <v>2.66249936614658</v>
      </c>
      <c r="C40" s="301">
        <v>2.23897969459922</v>
      </c>
      <c r="D40" s="313">
        <v>2.0633664171225</v>
      </c>
      <c r="E40" s="313">
        <v>1.83286093290597</v>
      </c>
      <c r="F40" s="313">
        <v>2.2049501504375</v>
      </c>
      <c r="G40" s="313">
        <v>2.32190563605028</v>
      </c>
      <c r="H40" s="313">
        <v>2.0261289393481</v>
      </c>
      <c r="I40" s="313">
        <v>1.35078066500497</v>
      </c>
      <c r="J40" s="313">
        <v>1.88986323610737</v>
      </c>
      <c r="K40" s="313">
        <v>1.26543875315721</v>
      </c>
      <c r="L40" s="320">
        <v>1.97318709283258</v>
      </c>
    </row>
    <row r="41" ht="17.4" spans="1:12">
      <c r="A41" s="291" t="s">
        <v>602</v>
      </c>
      <c r="B41" s="301">
        <v>6.89731040579218</v>
      </c>
      <c r="C41" s="301">
        <v>6.53525089841464</v>
      </c>
      <c r="D41" s="313">
        <v>5.27880082080902</v>
      </c>
      <c r="E41" s="313">
        <v>6.61482394013346</v>
      </c>
      <c r="F41" s="313">
        <v>6.07871901650806</v>
      </c>
      <c r="G41" s="313">
        <v>5.61659212055039</v>
      </c>
      <c r="H41" s="313">
        <v>6.15490782608573</v>
      </c>
      <c r="I41" s="313">
        <v>4.13294712082837</v>
      </c>
      <c r="J41" s="313">
        <v>5.64721789951146</v>
      </c>
      <c r="K41" s="313">
        <v>5.86788546052582</v>
      </c>
      <c r="L41" s="320">
        <v>6.0996867037392</v>
      </c>
    </row>
    <row r="42" ht="17.4" spans="1:12">
      <c r="A42" s="287" t="s">
        <v>603</v>
      </c>
      <c r="B42" s="301">
        <v>3.90475452045866</v>
      </c>
      <c r="C42" s="301">
        <v>3.97110967260207</v>
      </c>
      <c r="D42" s="313">
        <v>3.28826489781139</v>
      </c>
      <c r="E42" s="313">
        <v>4.18648767683137</v>
      </c>
      <c r="F42" s="313">
        <v>3.58578604985589</v>
      </c>
      <c r="G42" s="313">
        <v>3.29279021243764</v>
      </c>
      <c r="H42" s="313">
        <v>3.06581077154604</v>
      </c>
      <c r="I42" s="313">
        <v>2.4854010008449</v>
      </c>
      <c r="J42" s="313">
        <v>3.55694638405614</v>
      </c>
      <c r="K42" s="313">
        <v>3.43884339425515</v>
      </c>
      <c r="L42" s="320">
        <v>3.82707292047035</v>
      </c>
    </row>
    <row r="43" ht="17.4" spans="1:12">
      <c r="A43" s="287" t="s">
        <v>604</v>
      </c>
      <c r="B43" s="301">
        <v>2.99255588533352</v>
      </c>
      <c r="C43" s="301">
        <v>2.56414122581257</v>
      </c>
      <c r="D43" s="313">
        <v>1.99053592299763</v>
      </c>
      <c r="E43" s="313">
        <v>2.42833626330209</v>
      </c>
      <c r="F43" s="313">
        <v>2.49293296665217</v>
      </c>
      <c r="G43" s="313">
        <v>2.32380190811275</v>
      </c>
      <c r="H43" s="313">
        <v>3.08909705453969</v>
      </c>
      <c r="I43" s="313">
        <v>1.64754611998347</v>
      </c>
      <c r="J43" s="313">
        <v>2.09027151545532</v>
      </c>
      <c r="K43" s="313">
        <v>2.42904206627067</v>
      </c>
      <c r="L43" s="320">
        <v>2.27261378326885</v>
      </c>
    </row>
    <row r="44" ht="17.4" spans="1:12">
      <c r="A44" s="291" t="s">
        <v>605</v>
      </c>
      <c r="B44" s="301">
        <v>24.335324591323</v>
      </c>
      <c r="C44" s="301">
        <v>21.0285388689079</v>
      </c>
      <c r="D44" s="313">
        <v>20.5962944213594</v>
      </c>
      <c r="E44" s="313">
        <v>18.8779410280032</v>
      </c>
      <c r="F44" s="313">
        <v>22.1395867655396</v>
      </c>
      <c r="G44" s="313">
        <v>19.7581617626211</v>
      </c>
      <c r="H44" s="313">
        <v>16.5856114086982</v>
      </c>
      <c r="I44" s="313">
        <v>16.916620213401</v>
      </c>
      <c r="J44" s="313">
        <v>17.1160833067592</v>
      </c>
      <c r="K44" s="313">
        <v>19.3661756561256</v>
      </c>
      <c r="L44" s="320">
        <v>24.6579458905789</v>
      </c>
    </row>
    <row r="45" ht="17.4" spans="1:12">
      <c r="A45" s="287" t="s">
        <v>606</v>
      </c>
      <c r="B45" s="301">
        <v>1.14488609246032</v>
      </c>
      <c r="C45" s="301">
        <v>0.813072287079349</v>
      </c>
      <c r="D45" s="313">
        <v>0.876954216714613</v>
      </c>
      <c r="E45" s="313">
        <v>0.805651594769262</v>
      </c>
      <c r="F45" s="313">
        <v>1.19268702405659</v>
      </c>
      <c r="G45" s="313">
        <v>0.929172146059268</v>
      </c>
      <c r="H45" s="313">
        <v>0.777238494911624</v>
      </c>
      <c r="I45" s="313">
        <v>0.861442599968831</v>
      </c>
      <c r="J45" s="313">
        <v>0.960014019204828</v>
      </c>
      <c r="K45" s="313">
        <v>0.814422007743941</v>
      </c>
      <c r="L45" s="320">
        <v>1.98536039633158</v>
      </c>
    </row>
    <row r="46" ht="17.4" spans="1:12">
      <c r="A46" s="291" t="s">
        <v>607</v>
      </c>
      <c r="B46" s="301">
        <v>23.1904384988627</v>
      </c>
      <c r="C46" s="301">
        <v>20.2154665818286</v>
      </c>
      <c r="D46" s="313">
        <v>19.7193402046448</v>
      </c>
      <c r="E46" s="313">
        <v>18.072289433234</v>
      </c>
      <c r="F46" s="313">
        <v>20.946899741483</v>
      </c>
      <c r="G46" s="313">
        <v>18.8289896165618</v>
      </c>
      <c r="H46" s="313">
        <v>15.8083729137866</v>
      </c>
      <c r="I46" s="313">
        <v>16.0551776134321</v>
      </c>
      <c r="J46" s="313">
        <v>16.1560692875544</v>
      </c>
      <c r="K46" s="313">
        <v>18.5517536483817</v>
      </c>
      <c r="L46" s="320">
        <v>22.6725854942473</v>
      </c>
    </row>
    <row r="47" ht="17.4" spans="1:12">
      <c r="A47" s="291" t="s">
        <v>608</v>
      </c>
      <c r="B47" s="301">
        <v>22.363554857914</v>
      </c>
      <c r="C47" s="301">
        <v>30.415667079363</v>
      </c>
      <c r="D47" s="313">
        <v>39.2475192336282</v>
      </c>
      <c r="E47" s="313">
        <v>38.3828289147938</v>
      </c>
      <c r="F47" s="313">
        <v>37.4333759237497</v>
      </c>
      <c r="G47" s="313">
        <v>32.1172155140504</v>
      </c>
      <c r="H47" s="313">
        <v>34.2945073664973</v>
      </c>
      <c r="I47" s="313">
        <v>46.3145882821647</v>
      </c>
      <c r="J47" s="313">
        <v>45.7951818105002</v>
      </c>
      <c r="K47" s="313">
        <v>44.0532854844665</v>
      </c>
      <c r="L47" s="320">
        <v>31.6397367631454</v>
      </c>
    </row>
    <row r="48" ht="17.4" spans="1:12">
      <c r="A48" s="291" t="s">
        <v>629</v>
      </c>
      <c r="B48" s="301">
        <v>0.0186951312747083</v>
      </c>
      <c r="C48" s="301">
        <v>0.0421936203599365</v>
      </c>
      <c r="D48" s="313">
        <v>0.0899359668423561</v>
      </c>
      <c r="E48" s="313">
        <v>0.0111250309466952</v>
      </c>
      <c r="F48" s="313">
        <v>0.00516731861619306</v>
      </c>
      <c r="G48" s="313">
        <v>0.0325743034591683</v>
      </c>
      <c r="H48" s="313">
        <v>0.0596737695671013</v>
      </c>
      <c r="I48" s="313">
        <v>0.0525774506949949</v>
      </c>
      <c r="J48" s="313">
        <v>0.0505104578105917</v>
      </c>
      <c r="K48" s="313">
        <v>4.8096561815132e-5</v>
      </c>
      <c r="L48" s="320">
        <v>7.70557127549665</v>
      </c>
    </row>
    <row r="49" ht="17.4" spans="1:12">
      <c r="A49" s="291" t="s">
        <v>630</v>
      </c>
      <c r="B49" s="301">
        <v>22.3448597266393</v>
      </c>
      <c r="C49" s="301">
        <v>30.3734734590031</v>
      </c>
      <c r="D49" s="313">
        <v>39.1575832667858</v>
      </c>
      <c r="E49" s="313">
        <v>38.3717038838471</v>
      </c>
      <c r="F49" s="313">
        <v>37.4282086051335</v>
      </c>
      <c r="G49" s="313">
        <v>32.0846412105912</v>
      </c>
      <c r="H49" s="313">
        <v>34.2348335969302</v>
      </c>
      <c r="I49" s="313">
        <v>46.2620108314697</v>
      </c>
      <c r="J49" s="313">
        <v>45.7446713526896</v>
      </c>
      <c r="K49" s="313">
        <v>44.0532373879047</v>
      </c>
      <c r="L49" s="320">
        <v>23.9341654876488</v>
      </c>
    </row>
    <row r="50" ht="17.4" spans="1:12">
      <c r="A50" s="287" t="s">
        <v>611</v>
      </c>
      <c r="B50" s="301">
        <v>15.8065531366258</v>
      </c>
      <c r="C50" s="301">
        <v>21.8936296318178</v>
      </c>
      <c r="D50" s="313">
        <v>30.0286395351894</v>
      </c>
      <c r="E50" s="313">
        <v>24.3384277056864</v>
      </c>
      <c r="F50" s="313">
        <v>25.4470522221009</v>
      </c>
      <c r="G50" s="313">
        <v>20.4670526054349</v>
      </c>
      <c r="H50" s="313">
        <v>26.5550649289464</v>
      </c>
      <c r="I50" s="313">
        <v>35.9527312605687</v>
      </c>
      <c r="J50" s="313">
        <v>31.4533084077356</v>
      </c>
      <c r="K50" s="313">
        <v>25.8524537652174</v>
      </c>
      <c r="L50" s="320">
        <v>11.4181057599752</v>
      </c>
    </row>
    <row r="51" ht="17.4" spans="1:12">
      <c r="A51" s="287" t="s">
        <v>612</v>
      </c>
      <c r="B51" s="301">
        <v>6.53830659001351</v>
      </c>
      <c r="C51" s="301">
        <v>8.47984382718525</v>
      </c>
      <c r="D51" s="313">
        <v>9.12894373159638</v>
      </c>
      <c r="E51" s="313">
        <v>14.0332761781607</v>
      </c>
      <c r="F51" s="313">
        <v>11.9811563830327</v>
      </c>
      <c r="G51" s="313">
        <v>11.6175886051563</v>
      </c>
      <c r="H51" s="313">
        <v>7.67976866798384</v>
      </c>
      <c r="I51" s="313">
        <v>10.309279570901</v>
      </c>
      <c r="J51" s="313">
        <v>14.291362944954</v>
      </c>
      <c r="K51" s="313">
        <v>18.2007836226873</v>
      </c>
      <c r="L51" s="320">
        <v>12.5160597276736</v>
      </c>
    </row>
    <row r="52" ht="17.4" spans="1:12">
      <c r="A52" s="291" t="s">
        <v>613</v>
      </c>
      <c r="B52" s="301">
        <v>23.7203898643394</v>
      </c>
      <c r="C52" s="301">
        <v>20.256450723303</v>
      </c>
      <c r="D52" s="313">
        <v>15.8943848932058</v>
      </c>
      <c r="E52" s="313">
        <v>14.5913929020477</v>
      </c>
      <c r="F52" s="313">
        <v>14.9658565761027</v>
      </c>
      <c r="G52" s="313">
        <v>21.7392913118622</v>
      </c>
      <c r="H52" s="313">
        <v>20.1710904072847</v>
      </c>
      <c r="I52" s="313">
        <v>15.8406836905436</v>
      </c>
      <c r="J52" s="313">
        <v>12.7518908615097</v>
      </c>
      <c r="K52" s="313">
        <v>14.3657554916336</v>
      </c>
      <c r="L52" s="320">
        <v>16.8440673870744</v>
      </c>
    </row>
    <row r="53" ht="17.4" spans="1:12">
      <c r="A53" s="287" t="s">
        <v>614</v>
      </c>
      <c r="B53" s="301">
        <v>16.5988678137917</v>
      </c>
      <c r="C53" s="301">
        <v>14.2632591014976</v>
      </c>
      <c r="D53" s="313">
        <v>10.5714100292586</v>
      </c>
      <c r="E53" s="313">
        <v>10.1153856207712</v>
      </c>
      <c r="F53" s="313">
        <v>10.1814818560914</v>
      </c>
      <c r="G53" s="313">
        <v>15.0143530141811</v>
      </c>
      <c r="H53" s="313">
        <v>13.900825863732</v>
      </c>
      <c r="I53" s="313">
        <v>9.81192347758501</v>
      </c>
      <c r="J53" s="313">
        <v>9.12121208743916</v>
      </c>
      <c r="K53" s="313">
        <v>10.6712238736517</v>
      </c>
      <c r="L53" s="320">
        <v>11.5208251921561</v>
      </c>
    </row>
    <row r="54" ht="17.4" spans="1:12">
      <c r="A54" s="291" t="s">
        <v>615</v>
      </c>
      <c r="B54" s="301">
        <v>7.12152205054769</v>
      </c>
      <c r="C54" s="301">
        <v>5.99319162180539</v>
      </c>
      <c r="D54" s="313">
        <v>5.32297486394721</v>
      </c>
      <c r="E54" s="313">
        <v>4.47600728127644</v>
      </c>
      <c r="F54" s="313">
        <v>4.78437472001125</v>
      </c>
      <c r="G54" s="313">
        <v>6.72493829768112</v>
      </c>
      <c r="H54" s="313">
        <v>6.27026454355265</v>
      </c>
      <c r="I54" s="313">
        <v>6.02876021295864</v>
      </c>
      <c r="J54" s="313">
        <v>3.63067877407058</v>
      </c>
      <c r="K54" s="313">
        <v>3.69453161798195</v>
      </c>
      <c r="L54" s="320">
        <v>5.32324219491835</v>
      </c>
    </row>
    <row r="55" ht="17.4" spans="1:12">
      <c r="A55" s="291" t="s">
        <v>616</v>
      </c>
      <c r="B55" s="301">
        <v>9.58933103907238</v>
      </c>
      <c r="C55" s="301">
        <v>8.04290510455877</v>
      </c>
      <c r="D55" s="313">
        <v>7.3433877656034</v>
      </c>
      <c r="E55" s="313">
        <v>10.2052853644129</v>
      </c>
      <c r="F55" s="313">
        <v>7.86960240569948</v>
      </c>
      <c r="G55" s="313">
        <v>9.78829029666153</v>
      </c>
      <c r="H55" s="313">
        <v>7.17170862734617</v>
      </c>
      <c r="I55" s="313">
        <v>6.69703488980178</v>
      </c>
      <c r="J55" s="313">
        <v>6.37749064050498</v>
      </c>
      <c r="K55" s="313">
        <v>6.49866053766742</v>
      </c>
      <c r="L55" s="320">
        <v>8.28072466897488</v>
      </c>
    </row>
    <row r="56" ht="17.4" spans="1:12">
      <c r="A56" s="291" t="s">
        <v>617</v>
      </c>
      <c r="B56" s="301">
        <v>4.30515009827915</v>
      </c>
      <c r="C56" s="301">
        <v>3.33622052360467</v>
      </c>
      <c r="D56" s="313">
        <v>2.55540730773298</v>
      </c>
      <c r="E56" s="313">
        <v>4.7751821773046</v>
      </c>
      <c r="F56" s="313">
        <v>2.08588609872814</v>
      </c>
      <c r="G56" s="313">
        <v>3.50251371833457</v>
      </c>
      <c r="H56" s="313">
        <v>3.15197796261799</v>
      </c>
      <c r="I56" s="313">
        <v>1.86321624048476</v>
      </c>
      <c r="J56" s="313">
        <v>2.19973477177147</v>
      </c>
      <c r="K56" s="313">
        <v>1.6185692175782</v>
      </c>
      <c r="L56" s="320">
        <v>1.4558559699718</v>
      </c>
    </row>
    <row r="57" ht="17.4" spans="1:12">
      <c r="A57" s="291" t="s">
        <v>618</v>
      </c>
      <c r="B57" s="301">
        <v>3.2632792405838</v>
      </c>
      <c r="C57" s="301">
        <v>2.93597510354535</v>
      </c>
      <c r="D57" s="313">
        <v>3.13210368267124</v>
      </c>
      <c r="E57" s="313">
        <v>3.121277668566</v>
      </c>
      <c r="F57" s="313">
        <v>3.5847416880287</v>
      </c>
      <c r="G57" s="313">
        <v>3.75196114571775</v>
      </c>
      <c r="H57" s="313">
        <v>2.49968864385347</v>
      </c>
      <c r="I57" s="313">
        <v>3.12921686152939</v>
      </c>
      <c r="J57" s="313">
        <v>2.80283711330625</v>
      </c>
      <c r="K57" s="313">
        <v>2.95135783982485</v>
      </c>
      <c r="L57" s="320">
        <v>4.26899391540724</v>
      </c>
    </row>
    <row r="58" ht="17.4" spans="1:12">
      <c r="A58" s="287" t="s">
        <v>619</v>
      </c>
      <c r="B58" s="301">
        <v>1.35736621833389</v>
      </c>
      <c r="C58" s="301">
        <v>1.68333031390248</v>
      </c>
      <c r="D58" s="313">
        <v>2.1490048983257</v>
      </c>
      <c r="E58" s="313">
        <v>2.18540959428056</v>
      </c>
      <c r="F58" s="313">
        <v>2.66627078802715</v>
      </c>
      <c r="G58" s="313">
        <v>1.63925767888734</v>
      </c>
      <c r="H58" s="313">
        <v>1.15856154369747</v>
      </c>
      <c r="I58" s="313">
        <v>2.06684958118705</v>
      </c>
      <c r="J58" s="313">
        <v>2.0953015069966</v>
      </c>
      <c r="K58" s="313">
        <v>2.01221464078994</v>
      </c>
      <c r="L58" s="320">
        <v>2.77020258080703</v>
      </c>
    </row>
    <row r="59" ht="17.4" spans="1:12">
      <c r="A59" s="287" t="s">
        <v>620</v>
      </c>
      <c r="B59" s="301">
        <v>1.90591302224992</v>
      </c>
      <c r="C59" s="301">
        <v>1.25264478964287</v>
      </c>
      <c r="D59" s="313">
        <v>0.983098784345542</v>
      </c>
      <c r="E59" s="313">
        <v>0.935868074285446</v>
      </c>
      <c r="F59" s="313">
        <v>0.918470900001548</v>
      </c>
      <c r="G59" s="313">
        <v>2.11270346683041</v>
      </c>
      <c r="H59" s="313">
        <v>1.341127100156</v>
      </c>
      <c r="I59" s="313">
        <v>1.06236728034233</v>
      </c>
      <c r="J59" s="313">
        <v>0.70753560630965</v>
      </c>
      <c r="K59" s="313">
        <v>0.93914319903491</v>
      </c>
      <c r="L59" s="320">
        <v>1.49879133460021</v>
      </c>
    </row>
    <row r="60" ht="17.4" spans="1:12">
      <c r="A60" s="291" t="s">
        <v>621</v>
      </c>
      <c r="B60" s="301">
        <v>2.02090170020943</v>
      </c>
      <c r="C60" s="301">
        <v>1.77070947740874</v>
      </c>
      <c r="D60" s="313">
        <v>1.65587677519918</v>
      </c>
      <c r="E60" s="313">
        <v>2.30882551854231</v>
      </c>
      <c r="F60" s="313">
        <v>2.19897461894264</v>
      </c>
      <c r="G60" s="313">
        <v>2.53381543260921</v>
      </c>
      <c r="H60" s="313">
        <v>1.52004202087471</v>
      </c>
      <c r="I60" s="313">
        <v>1.70460178778764</v>
      </c>
      <c r="J60" s="313">
        <v>1.37491875542725</v>
      </c>
      <c r="K60" s="313">
        <v>1.92873348026436</v>
      </c>
      <c r="L60" s="320">
        <v>2.55587478359584</v>
      </c>
    </row>
    <row r="61" ht="17.4" spans="1:12">
      <c r="A61" s="291" t="s">
        <v>622</v>
      </c>
      <c r="B61" s="301">
        <v>5.36625986985342</v>
      </c>
      <c r="C61" s="301">
        <v>5.86688261943926</v>
      </c>
      <c r="D61" s="313">
        <v>5.42371906558786</v>
      </c>
      <c r="E61" s="313">
        <v>4.82162270439091</v>
      </c>
      <c r="F61" s="313">
        <v>5.1597089813555</v>
      </c>
      <c r="G61" s="313">
        <v>4.12333436516484</v>
      </c>
      <c r="H61" s="313">
        <v>8.71023334533741</v>
      </c>
      <c r="I61" s="313">
        <v>5.05765381571317</v>
      </c>
      <c r="J61" s="313">
        <v>4.22935256288589</v>
      </c>
      <c r="K61" s="313">
        <v>4.46999911101908</v>
      </c>
      <c r="L61" s="320">
        <v>6.44774858921895</v>
      </c>
    </row>
    <row r="62" ht="17.4" spans="1:12">
      <c r="A62" s="287" t="s">
        <v>623</v>
      </c>
      <c r="B62" s="301">
        <v>1.25216709250383</v>
      </c>
      <c r="C62" s="301">
        <v>1.29430550544624</v>
      </c>
      <c r="D62" s="313">
        <v>1.02553271713077</v>
      </c>
      <c r="E62" s="313">
        <v>0.97464318810869</v>
      </c>
      <c r="F62" s="313">
        <v>1.34144012444532</v>
      </c>
      <c r="G62" s="313">
        <v>1.08043723067967</v>
      </c>
      <c r="H62" s="313">
        <v>0.964850158958566</v>
      </c>
      <c r="I62" s="313">
        <v>1.08698636009796</v>
      </c>
      <c r="J62" s="313">
        <v>0.858619163912393</v>
      </c>
      <c r="K62" s="313">
        <v>1.09686346422594</v>
      </c>
      <c r="L62" s="320">
        <v>1.53682720578652</v>
      </c>
    </row>
    <row r="63" ht="17.4" spans="1:12">
      <c r="A63" s="287" t="s">
        <v>624</v>
      </c>
      <c r="B63" s="301">
        <v>0.840611953799951</v>
      </c>
      <c r="C63" s="301">
        <v>0.692855890615679</v>
      </c>
      <c r="D63" s="313">
        <v>1.32361731049688</v>
      </c>
      <c r="E63" s="313">
        <v>1.26161971734925</v>
      </c>
      <c r="F63" s="313">
        <v>1.14069320038978</v>
      </c>
      <c r="G63" s="313">
        <v>0.617393297678138</v>
      </c>
      <c r="H63" s="313">
        <v>0.710441018653542</v>
      </c>
      <c r="I63" s="313">
        <v>1.01709190636629</v>
      </c>
      <c r="J63" s="313">
        <v>1.27494692013243</v>
      </c>
      <c r="K63" s="313">
        <v>1.01409569995595</v>
      </c>
      <c r="L63" s="320">
        <v>1.92490528968243</v>
      </c>
    </row>
    <row r="64" ht="17.4" spans="1:12">
      <c r="A64" s="287" t="s">
        <v>625</v>
      </c>
      <c r="B64" s="301">
        <v>3.27348082354964</v>
      </c>
      <c r="C64" s="301">
        <v>3.87972122337734</v>
      </c>
      <c r="D64" s="313">
        <v>3.0745690379602</v>
      </c>
      <c r="E64" s="313">
        <v>2.58535979893296</v>
      </c>
      <c r="F64" s="313">
        <v>2.6775756565204</v>
      </c>
      <c r="G64" s="313">
        <v>2.42550383680703</v>
      </c>
      <c r="H64" s="313">
        <v>7.03494216772531</v>
      </c>
      <c r="I64" s="313">
        <v>2.95357554924892</v>
      </c>
      <c r="J64" s="313">
        <v>2.09578647884107</v>
      </c>
      <c r="K64" s="313">
        <v>2.35903994683718</v>
      </c>
      <c r="L64" s="320">
        <v>2.98601609375</v>
      </c>
    </row>
    <row r="65" ht="17.4" spans="1:12">
      <c r="A65" s="291" t="s">
        <v>626</v>
      </c>
      <c r="B65" s="301">
        <v>0.418382999208747</v>
      </c>
      <c r="C65" s="301">
        <v>0.358490090951598</v>
      </c>
      <c r="D65" s="313">
        <v>0.332430693210989</v>
      </c>
      <c r="E65" s="313">
        <v>0.727104313356683</v>
      </c>
      <c r="F65" s="313">
        <v>1.57405372267169</v>
      </c>
      <c r="G65" s="313">
        <v>0.757126998248206</v>
      </c>
      <c r="H65" s="313">
        <v>0.761812427705866</v>
      </c>
      <c r="I65" s="313">
        <v>0.179458431612758</v>
      </c>
      <c r="J65" s="313">
        <v>2.28409018338588</v>
      </c>
      <c r="K65" s="313">
        <v>0.45092013184896</v>
      </c>
      <c r="L65" s="320">
        <v>1.2977948052632</v>
      </c>
    </row>
    <row r="66" ht="17.4" spans="1:12">
      <c r="A66" s="291" t="s">
        <v>425</v>
      </c>
      <c r="B66" s="321">
        <v>100</v>
      </c>
      <c r="C66" s="295">
        <v>100</v>
      </c>
      <c r="D66" s="149">
        <v>100</v>
      </c>
      <c r="E66" s="149">
        <v>100</v>
      </c>
      <c r="F66" s="149">
        <v>100</v>
      </c>
      <c r="G66" s="149">
        <v>100</v>
      </c>
      <c r="H66" s="149">
        <v>100</v>
      </c>
      <c r="I66" s="305">
        <v>100</v>
      </c>
      <c r="J66" s="305">
        <v>100</v>
      </c>
      <c r="K66" s="305">
        <v>100</v>
      </c>
      <c r="L66" s="318">
        <v>100</v>
      </c>
    </row>
    <row r="67" ht="17.4" spans="1:12">
      <c r="A67" s="322"/>
      <c r="B67" s="323"/>
      <c r="C67" s="323"/>
      <c r="D67" s="322"/>
      <c r="E67" s="322"/>
      <c r="F67" s="322"/>
      <c r="G67" s="322"/>
      <c r="H67" s="322"/>
      <c r="I67" s="322"/>
      <c r="J67" s="322"/>
      <c r="K67" s="322"/>
      <c r="L67" s="322"/>
    </row>
    <row r="68" ht="17.4" spans="1:12">
      <c r="A68" s="322"/>
      <c r="B68" s="323"/>
      <c r="C68" s="323"/>
      <c r="D68" s="322"/>
      <c r="E68" s="322"/>
      <c r="F68" s="322"/>
      <c r="G68" s="322"/>
      <c r="H68" s="322"/>
      <c r="I68" s="322"/>
      <c r="J68" s="322"/>
      <c r="K68" s="322"/>
      <c r="L68" s="322"/>
    </row>
    <row r="69" ht="17.4" spans="1:12">
      <c r="A69" s="324" t="s">
        <v>631</v>
      </c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</row>
    <row r="70" ht="17.4" spans="1:12">
      <c r="A70" s="324" t="s">
        <v>632</v>
      </c>
      <c r="B70" s="324"/>
      <c r="C70" s="324"/>
      <c r="D70" s="324"/>
      <c r="E70" s="324"/>
      <c r="F70" s="324"/>
      <c r="G70" s="324"/>
      <c r="H70" s="324"/>
      <c r="I70" s="324"/>
      <c r="J70" s="324"/>
      <c r="K70" s="324"/>
      <c r="L70" s="324"/>
    </row>
  </sheetData>
  <mergeCells count="3">
    <mergeCell ref="A2:K2"/>
    <mergeCell ref="A69:I69"/>
    <mergeCell ref="A70:I70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zoomScale="70" zoomScaleNormal="70" workbookViewId="0">
      <selection activeCell="D2" sqref="D2"/>
    </sheetView>
  </sheetViews>
  <sheetFormatPr defaultColWidth="9" defaultRowHeight="14.4"/>
  <cols>
    <col min="1" max="1" width="12.8148148148148" customWidth="1"/>
    <col min="2" max="2" width="10.2685185185185" customWidth="1"/>
    <col min="3" max="3" width="19.2685185185185" customWidth="1"/>
    <col min="4" max="4" width="19" customWidth="1"/>
    <col min="5" max="5" width="18.7222222222222" style="38" customWidth="1"/>
    <col min="6" max="6" width="18.1759259259259" style="38" customWidth="1"/>
    <col min="7" max="7" width="22.2685185185185" customWidth="1"/>
    <col min="8" max="8" width="19.2685185185185" customWidth="1"/>
    <col min="9" max="9" width="13.8148148148148" customWidth="1"/>
    <col min="10" max="10" width="17.7222222222222" customWidth="1"/>
    <col min="11" max="11" width="10.2685185185185" customWidth="1"/>
  </cols>
  <sheetData>
    <row r="1" ht="18.6" spans="1:7">
      <c r="A1" s="270" t="s">
        <v>633</v>
      </c>
      <c r="B1" s="271"/>
      <c r="C1" s="271"/>
      <c r="D1" s="271"/>
      <c r="E1" s="271"/>
      <c r="F1" s="271"/>
      <c r="G1" s="272"/>
    </row>
    <row r="2" ht="108.65" spans="1:7">
      <c r="A2" s="273" t="s">
        <v>634</v>
      </c>
      <c r="B2" s="273" t="s">
        <v>635</v>
      </c>
      <c r="C2" s="273" t="s">
        <v>636</v>
      </c>
      <c r="D2" s="273" t="s">
        <v>637</v>
      </c>
      <c r="E2" s="273" t="s">
        <v>638</v>
      </c>
      <c r="F2" s="273" t="s">
        <v>639</v>
      </c>
      <c r="G2" s="274" t="s">
        <v>640</v>
      </c>
    </row>
    <row r="3" ht="15.6" spans="1:11">
      <c r="A3" s="12">
        <v>2020</v>
      </c>
      <c r="B3" s="151" t="s">
        <v>368</v>
      </c>
      <c r="C3" s="32">
        <v>12700.943807826</v>
      </c>
      <c r="D3" s="32">
        <v>12522.6844438475</v>
      </c>
      <c r="E3" s="32">
        <v>11663.6171423253</v>
      </c>
      <c r="F3" s="32">
        <v>859.0673015222</v>
      </c>
      <c r="G3" s="32">
        <v>-178.25936397853</v>
      </c>
      <c r="H3" s="52"/>
      <c r="I3" s="52"/>
      <c r="J3" s="52"/>
      <c r="K3" s="52"/>
    </row>
    <row r="4" ht="15.6" spans="1:11">
      <c r="A4" s="12">
        <v>2021</v>
      </c>
      <c r="B4" s="151" t="s">
        <v>368</v>
      </c>
      <c r="C4" s="32">
        <v>20843.9649524619</v>
      </c>
      <c r="D4" s="32">
        <v>18907.7887137724</v>
      </c>
      <c r="E4" s="32">
        <v>18255.5724676014</v>
      </c>
      <c r="F4" s="32">
        <v>652.216246171</v>
      </c>
      <c r="G4" s="32">
        <v>-1936.17623868949</v>
      </c>
      <c r="H4" s="52"/>
      <c r="I4" s="52"/>
      <c r="J4" s="52"/>
      <c r="K4" s="52"/>
    </row>
    <row r="5" ht="15.6" spans="1:11">
      <c r="A5" s="12">
        <v>2022</v>
      </c>
      <c r="B5" s="151" t="s">
        <v>368</v>
      </c>
      <c r="C5" s="32">
        <v>25590.5474094675</v>
      </c>
      <c r="D5" s="32">
        <v>26796.7548626317</v>
      </c>
      <c r="E5" s="32">
        <v>26446.6851637467</v>
      </c>
      <c r="F5" s="32">
        <v>350.069698885</v>
      </c>
      <c r="G5" s="32">
        <v>1206.20745316416</v>
      </c>
      <c r="H5" s="52"/>
      <c r="I5" s="52"/>
      <c r="J5" s="52"/>
      <c r="K5" s="52"/>
    </row>
    <row r="6" ht="15.6" spans="1:11">
      <c r="A6" s="12">
        <v>2023</v>
      </c>
      <c r="B6" s="151" t="s">
        <v>368</v>
      </c>
      <c r="C6" s="32">
        <v>30863.0655361904</v>
      </c>
      <c r="D6" s="32">
        <v>35962.3924426854</v>
      </c>
      <c r="E6" s="32">
        <v>35751.9197614034</v>
      </c>
      <c r="F6" s="32">
        <v>210.472681282</v>
      </c>
      <c r="G6" s="32">
        <v>5099.32690649507</v>
      </c>
      <c r="H6" s="52"/>
      <c r="I6" s="52"/>
      <c r="J6" s="52"/>
      <c r="K6" s="52"/>
    </row>
    <row r="7" ht="15.6" spans="1:11">
      <c r="A7" s="12">
        <v>2024</v>
      </c>
      <c r="B7" s="151" t="s">
        <v>368</v>
      </c>
      <c r="C7" s="32">
        <v>60590.5488426538</v>
      </c>
      <c r="D7" s="32">
        <v>77442.0989547768</v>
      </c>
      <c r="E7" s="32">
        <v>76407.8371749998</v>
      </c>
      <c r="F7" s="32">
        <v>1034.261779777</v>
      </c>
      <c r="G7" s="32">
        <v>16851.550112123</v>
      </c>
      <c r="H7" s="89"/>
      <c r="I7" s="89"/>
      <c r="J7" s="89"/>
      <c r="K7" s="89"/>
    </row>
    <row r="8" ht="15.6" spans="1:11">
      <c r="A8" s="12">
        <v>2025</v>
      </c>
      <c r="B8" s="275" t="s">
        <v>374</v>
      </c>
      <c r="C8" s="276">
        <v>15426.1747450436</v>
      </c>
      <c r="D8" s="276">
        <v>20598.4807526396</v>
      </c>
      <c r="E8" s="276">
        <v>20539.1703689847</v>
      </c>
      <c r="F8" s="276">
        <v>59.310383655</v>
      </c>
      <c r="G8" s="276">
        <v>5172.30600759602</v>
      </c>
      <c r="H8" s="52"/>
      <c r="I8" s="52"/>
      <c r="J8" s="52"/>
      <c r="K8" s="52"/>
    </row>
    <row r="9" ht="15.6" spans="1:9">
      <c r="A9" s="12">
        <v>2020</v>
      </c>
      <c r="B9" s="12" t="s">
        <v>378</v>
      </c>
      <c r="C9" s="13">
        <v>3506.55</v>
      </c>
      <c r="D9" s="32">
        <v>3194.5</v>
      </c>
      <c r="E9" s="32">
        <v>3075.617551099</v>
      </c>
      <c r="F9" s="32">
        <v>118.882448901</v>
      </c>
      <c r="G9" s="151">
        <v>-312.05</v>
      </c>
      <c r="I9" s="38"/>
    </row>
    <row r="10" ht="15.6" spans="1:9">
      <c r="A10" s="12"/>
      <c r="B10" s="12" t="s">
        <v>377</v>
      </c>
      <c r="C10" s="32">
        <v>3184.592729006</v>
      </c>
      <c r="D10" s="32">
        <v>2993.46433470873</v>
      </c>
      <c r="E10" s="32">
        <v>2887.94999460373</v>
      </c>
      <c r="F10" s="32">
        <v>105.514340105</v>
      </c>
      <c r="G10" s="151">
        <v>-191.12839429727</v>
      </c>
      <c r="H10" s="38"/>
      <c r="I10" s="38"/>
    </row>
    <row r="11" ht="15.6" spans="1:9">
      <c r="A11" s="12"/>
      <c r="B11" s="12" t="s">
        <v>376</v>
      </c>
      <c r="C11" s="32">
        <v>2433.232077136</v>
      </c>
      <c r="D11" s="32">
        <v>2224.95315469106</v>
      </c>
      <c r="E11" s="32">
        <v>2002.19639239806</v>
      </c>
      <c r="F11" s="32">
        <v>222.756762293</v>
      </c>
      <c r="G11" s="151">
        <v>-208.278922444941</v>
      </c>
      <c r="H11" s="277"/>
      <c r="I11" s="38"/>
    </row>
    <row r="12" ht="15.6" spans="1:7">
      <c r="A12" s="12"/>
      <c r="B12" s="12" t="s">
        <v>375</v>
      </c>
      <c r="C12" s="32">
        <v>3576.567853432</v>
      </c>
      <c r="D12" s="32">
        <v>4109.76993739883</v>
      </c>
      <c r="E12" s="32">
        <v>3697.85618717563</v>
      </c>
      <c r="F12" s="32">
        <v>411.9137502232</v>
      </c>
      <c r="G12" s="151">
        <v>533.202083966832</v>
      </c>
    </row>
    <row r="13" ht="15.6" spans="1:8">
      <c r="A13" s="12">
        <v>2021</v>
      </c>
      <c r="B13" s="12" t="s">
        <v>378</v>
      </c>
      <c r="C13" s="13">
        <v>5940.581475488</v>
      </c>
      <c r="D13" s="13">
        <v>5766.61888589579</v>
      </c>
      <c r="E13" s="196">
        <v>5482.07940827979</v>
      </c>
      <c r="F13" s="13">
        <v>284.539477616</v>
      </c>
      <c r="G13" s="151">
        <v>-173.962589592205</v>
      </c>
      <c r="H13" s="38"/>
    </row>
    <row r="14" ht="15.6" spans="1:7">
      <c r="A14" s="12"/>
      <c r="B14" s="12" t="s">
        <v>377</v>
      </c>
      <c r="C14" s="13">
        <v>5335.861303505</v>
      </c>
      <c r="D14" s="13">
        <v>5136.55514876399</v>
      </c>
      <c r="E14" s="32">
        <v>4956.73594720799</v>
      </c>
      <c r="F14" s="32">
        <v>179.819201556</v>
      </c>
      <c r="G14" s="151">
        <v>-199.306154741009</v>
      </c>
    </row>
    <row r="15" ht="15.6" spans="1:7">
      <c r="A15" s="12"/>
      <c r="B15" s="12" t="s">
        <v>376</v>
      </c>
      <c r="C15" s="32">
        <v>4692.334324428</v>
      </c>
      <c r="D15" s="32">
        <v>5019.68272447938</v>
      </c>
      <c r="E15" s="32">
        <v>4955.28829186338</v>
      </c>
      <c r="F15" s="32">
        <v>64.394432616</v>
      </c>
      <c r="G15" s="151">
        <v>327.348400051381</v>
      </c>
    </row>
    <row r="16" ht="15.6" spans="1:7">
      <c r="A16" s="70"/>
      <c r="B16" s="12" t="s">
        <v>375</v>
      </c>
      <c r="C16" s="32">
        <v>4875.18784904092</v>
      </c>
      <c r="D16" s="32">
        <v>2984.93195463326</v>
      </c>
      <c r="E16" s="32">
        <v>2861.46882025026</v>
      </c>
      <c r="F16" s="32">
        <v>123.463134383</v>
      </c>
      <c r="G16" s="151">
        <v>-1890.25589440765</v>
      </c>
    </row>
    <row r="17" ht="15.6" spans="1:7">
      <c r="A17" s="12">
        <v>2022</v>
      </c>
      <c r="B17" s="12" t="s">
        <v>378</v>
      </c>
      <c r="C17" s="13">
        <v>5362.82794552779</v>
      </c>
      <c r="D17" s="13">
        <v>6359.60833186506</v>
      </c>
      <c r="E17" s="13">
        <v>6160.01969193207</v>
      </c>
      <c r="F17" s="13">
        <v>199.588639933</v>
      </c>
      <c r="G17" s="151">
        <v>996.780386337279</v>
      </c>
    </row>
    <row r="18" ht="15.6" spans="1:8">
      <c r="A18" s="70"/>
      <c r="B18" s="12" t="s">
        <v>377</v>
      </c>
      <c r="C18" s="13">
        <v>6343.53177655599</v>
      </c>
      <c r="D18" s="13">
        <v>5934.14608026454</v>
      </c>
      <c r="E18" s="13">
        <v>5909.10485019854</v>
      </c>
      <c r="F18" s="13">
        <v>25.041230066</v>
      </c>
      <c r="G18" s="151">
        <v>-409.385696291457</v>
      </c>
      <c r="H18" s="278"/>
    </row>
    <row r="19" ht="15.6" spans="1:8">
      <c r="A19" s="70"/>
      <c r="B19" s="12" t="s">
        <v>376</v>
      </c>
      <c r="C19" s="13">
        <v>6388.51416783222</v>
      </c>
      <c r="D19" s="13">
        <v>7400.88682372143</v>
      </c>
      <c r="E19" s="13">
        <v>7391.26145789444</v>
      </c>
      <c r="F19" s="13">
        <v>9.625365827</v>
      </c>
      <c r="G19" s="151">
        <v>1012.37265588922</v>
      </c>
      <c r="H19" s="278"/>
    </row>
    <row r="20" ht="15.6" spans="1:9">
      <c r="A20" s="70"/>
      <c r="B20" s="12" t="s">
        <v>375</v>
      </c>
      <c r="C20" s="32">
        <v>7495.67351955154</v>
      </c>
      <c r="D20" s="32">
        <v>7102.11362678065</v>
      </c>
      <c r="E20" s="32">
        <v>6986.31154384565</v>
      </c>
      <c r="F20" s="32">
        <v>115.802082935</v>
      </c>
      <c r="G20" s="151">
        <v>-393.559892770889</v>
      </c>
      <c r="H20" s="38"/>
      <c r="I20" s="38"/>
    </row>
    <row r="21" ht="15.6" spans="1:7">
      <c r="A21" s="12">
        <v>2023</v>
      </c>
      <c r="B21" s="12" t="s">
        <v>378</v>
      </c>
      <c r="C21" s="32">
        <v>9053.77729640233</v>
      </c>
      <c r="D21" s="32">
        <v>12693.6195032756</v>
      </c>
      <c r="E21" s="32">
        <v>12642.7110678376</v>
      </c>
      <c r="F21" s="32">
        <v>50.908435438</v>
      </c>
      <c r="G21" s="151">
        <v>3639.84220687326</v>
      </c>
    </row>
    <row r="22" ht="15.6" spans="2:9">
      <c r="B22" s="12" t="s">
        <v>377</v>
      </c>
      <c r="C22" s="13">
        <v>9041.23709940702</v>
      </c>
      <c r="D22" s="13">
        <v>10346.6038505882</v>
      </c>
      <c r="E22" s="13">
        <v>10310.6509782502</v>
      </c>
      <c r="F22" s="13">
        <v>35.952872338</v>
      </c>
      <c r="G22" s="151">
        <v>1305.36675118113</v>
      </c>
      <c r="H22" s="89"/>
      <c r="I22" s="52"/>
    </row>
    <row r="23" ht="15.6" spans="1:8">
      <c r="A23" s="12"/>
      <c r="B23" s="12" t="s">
        <v>376</v>
      </c>
      <c r="C23" s="13">
        <v>6301.94875570785</v>
      </c>
      <c r="D23" s="13">
        <v>6435.13020706622</v>
      </c>
      <c r="E23" s="13">
        <v>6343.69127651722</v>
      </c>
      <c r="F23" s="13">
        <v>91.438930549</v>
      </c>
      <c r="G23" s="151">
        <v>133.181451358369</v>
      </c>
      <c r="H23" s="89"/>
    </row>
    <row r="24" ht="15.6" spans="1:9">
      <c r="A24" s="12"/>
      <c r="B24" s="12" t="s">
        <v>375</v>
      </c>
      <c r="C24" s="13">
        <v>6466.10238467316</v>
      </c>
      <c r="D24" s="13">
        <v>6487.03888175545</v>
      </c>
      <c r="E24" s="13">
        <v>6454.86643879845</v>
      </c>
      <c r="F24" s="13">
        <v>32.172442957</v>
      </c>
      <c r="G24" s="151">
        <v>20.9364970822926</v>
      </c>
      <c r="H24" s="38"/>
      <c r="I24" s="38"/>
    </row>
    <row r="25" ht="15.6" spans="1:9">
      <c r="A25" s="12">
        <v>2024</v>
      </c>
      <c r="B25" s="12" t="s">
        <v>378</v>
      </c>
      <c r="C25" s="73">
        <v>16590.5055325158</v>
      </c>
      <c r="D25" s="73">
        <v>20014.3291196982</v>
      </c>
      <c r="E25" s="73">
        <v>19861.7936910812</v>
      </c>
      <c r="F25" s="73">
        <v>152.535428617</v>
      </c>
      <c r="G25" s="196">
        <v>3423.8235871824</v>
      </c>
      <c r="H25" s="38"/>
      <c r="I25" s="38"/>
    </row>
    <row r="26" ht="15.6" spans="1:9">
      <c r="A26" s="12"/>
      <c r="B26" s="12" t="s">
        <v>377</v>
      </c>
      <c r="C26" s="32">
        <v>15281.1778368816</v>
      </c>
      <c r="D26" s="73">
        <v>20537.1688006048</v>
      </c>
      <c r="E26" s="73">
        <v>19853.9491301078</v>
      </c>
      <c r="F26" s="73">
        <v>683.219670497</v>
      </c>
      <c r="G26" s="196">
        <v>5255.9909637232</v>
      </c>
      <c r="H26" s="38"/>
      <c r="I26" s="38"/>
    </row>
    <row r="27" ht="15.6" spans="1:10">
      <c r="A27" s="12"/>
      <c r="B27" s="12" t="s">
        <v>376</v>
      </c>
      <c r="C27" s="13">
        <v>13969.3413237608</v>
      </c>
      <c r="D27" s="73">
        <v>17714.4072306695</v>
      </c>
      <c r="E27" s="279">
        <v>17540.2342930485</v>
      </c>
      <c r="F27" s="73">
        <v>174.172937621</v>
      </c>
      <c r="G27" s="196">
        <v>3745.06590690876</v>
      </c>
      <c r="H27" s="89"/>
      <c r="I27" s="38"/>
      <c r="J27" s="38"/>
    </row>
    <row r="28" ht="15.6" spans="1:10">
      <c r="A28" s="12"/>
      <c r="B28" s="12" t="s">
        <v>375</v>
      </c>
      <c r="C28" s="13">
        <v>14749.5241494957</v>
      </c>
      <c r="D28" s="73">
        <v>19176.1938038042</v>
      </c>
      <c r="E28" s="73">
        <v>19151.8600607622</v>
      </c>
      <c r="F28" s="73">
        <v>24.333743042</v>
      </c>
      <c r="G28" s="196">
        <v>4426.66965430859</v>
      </c>
      <c r="H28" s="38"/>
      <c r="I28" s="38"/>
      <c r="J28" s="38"/>
    </row>
    <row r="29" ht="15.6" spans="1:10">
      <c r="A29" s="12">
        <v>2025</v>
      </c>
      <c r="B29" s="280" t="s">
        <v>375</v>
      </c>
      <c r="C29" s="281">
        <v>15426.1747450436</v>
      </c>
      <c r="D29" s="281">
        <v>20598.4807526396</v>
      </c>
      <c r="E29" s="281">
        <v>20539.1703689847</v>
      </c>
      <c r="F29" s="281">
        <v>59.310383655</v>
      </c>
      <c r="G29" s="281">
        <v>5172.30600759602</v>
      </c>
      <c r="H29" s="38"/>
      <c r="I29" s="38"/>
      <c r="J29" s="38"/>
    </row>
    <row r="30" ht="15.6" spans="1:9">
      <c r="A30" s="12">
        <v>2020</v>
      </c>
      <c r="B30" s="12" t="s">
        <v>379</v>
      </c>
      <c r="C30" s="32">
        <v>1243.317892853</v>
      </c>
      <c r="D30" s="32">
        <v>1706.68358619165</v>
      </c>
      <c r="E30" s="32">
        <v>1514.20421836165</v>
      </c>
      <c r="F30" s="32">
        <v>192.47936783</v>
      </c>
      <c r="G30" s="32">
        <v>463.365693338651</v>
      </c>
      <c r="H30" s="38"/>
      <c r="I30" s="38"/>
    </row>
    <row r="31" ht="15.6" spans="1:9">
      <c r="A31" s="12"/>
      <c r="B31" s="12" t="s">
        <v>380</v>
      </c>
      <c r="C31" s="131">
        <v>1104.347303325</v>
      </c>
      <c r="D31" s="131">
        <v>1438.82513027364</v>
      </c>
      <c r="E31" s="32">
        <v>1279.74727195844</v>
      </c>
      <c r="F31" s="32">
        <v>159.0778583152</v>
      </c>
      <c r="G31" s="32">
        <v>334.47782694864</v>
      </c>
      <c r="H31" s="38"/>
      <c r="I31" s="38"/>
    </row>
    <row r="32" ht="15.6" spans="1:9">
      <c r="A32" s="12"/>
      <c r="B32" s="12" t="s">
        <v>391</v>
      </c>
      <c r="C32" s="32">
        <v>1228.902657254</v>
      </c>
      <c r="D32" s="32">
        <v>964.26122093354</v>
      </c>
      <c r="E32" s="32">
        <v>903.90469685554</v>
      </c>
      <c r="F32" s="32">
        <v>60.356524078</v>
      </c>
      <c r="G32" s="32">
        <v>-264.64143632046</v>
      </c>
      <c r="H32" s="38"/>
      <c r="I32" s="38"/>
    </row>
    <row r="33" ht="15.6" spans="1:9">
      <c r="A33" s="12"/>
      <c r="B33" s="12" t="s">
        <v>382</v>
      </c>
      <c r="C33" s="32">
        <v>735.170936763</v>
      </c>
      <c r="D33" s="32">
        <v>686.15833267918</v>
      </c>
      <c r="E33" s="32">
        <v>554.76119907718</v>
      </c>
      <c r="F33" s="32">
        <v>131.397133602</v>
      </c>
      <c r="G33" s="32">
        <v>-49.01260408382</v>
      </c>
      <c r="H33" s="38"/>
      <c r="I33" s="38"/>
    </row>
    <row r="34" ht="15.6" spans="1:9">
      <c r="A34" s="12"/>
      <c r="B34" s="12" t="s">
        <v>383</v>
      </c>
      <c r="C34" s="32">
        <v>749.20579949</v>
      </c>
      <c r="D34" s="32">
        <v>752.669547533699</v>
      </c>
      <c r="E34" s="32">
        <v>683.073562225699</v>
      </c>
      <c r="F34" s="32">
        <v>69.595985308</v>
      </c>
      <c r="G34" s="32">
        <v>3.46374804369896</v>
      </c>
      <c r="H34" s="38"/>
      <c r="I34" s="38"/>
    </row>
    <row r="35" ht="15.6" spans="1:9">
      <c r="A35" s="12"/>
      <c r="B35" s="12" t="s">
        <v>384</v>
      </c>
      <c r="C35" s="32">
        <v>948.855340883</v>
      </c>
      <c r="D35" s="32">
        <v>786.125274478179</v>
      </c>
      <c r="E35" s="32">
        <v>764.361631095179</v>
      </c>
      <c r="F35" s="32">
        <v>21.763643383</v>
      </c>
      <c r="G35" s="32">
        <v>-162.730066404821</v>
      </c>
      <c r="H35" s="38"/>
      <c r="I35" s="38"/>
    </row>
    <row r="36" ht="15.6" spans="1:9">
      <c r="A36" s="12"/>
      <c r="B36" s="12" t="s">
        <v>385</v>
      </c>
      <c r="C36" s="32">
        <v>1010.882241735</v>
      </c>
      <c r="D36" s="32">
        <v>1104.89018472799</v>
      </c>
      <c r="E36" s="32">
        <v>1041.37069808399</v>
      </c>
      <c r="F36" s="32">
        <v>63.519486644</v>
      </c>
      <c r="G36" s="32">
        <v>94.0079429929909</v>
      </c>
      <c r="H36" s="38"/>
      <c r="I36" s="38"/>
    </row>
    <row r="37" ht="15.6" spans="1:9">
      <c r="A37" s="12"/>
      <c r="B37" s="12" t="s">
        <v>386</v>
      </c>
      <c r="C37" s="32">
        <v>1126.294634334</v>
      </c>
      <c r="D37" s="32">
        <v>992.11102440077</v>
      </c>
      <c r="E37" s="32">
        <v>964.27194646977</v>
      </c>
      <c r="F37" s="32">
        <v>27.839077931</v>
      </c>
      <c r="G37" s="32">
        <v>-134.18360993323</v>
      </c>
      <c r="H37" s="38"/>
      <c r="I37" s="38"/>
    </row>
    <row r="38" ht="15.6" spans="1:9">
      <c r="A38" s="12"/>
      <c r="B38" s="12" t="s">
        <v>387</v>
      </c>
      <c r="C38" s="32">
        <v>1047.415852937</v>
      </c>
      <c r="D38" s="32">
        <v>896.46312557997</v>
      </c>
      <c r="E38" s="32">
        <v>882.30735004997</v>
      </c>
      <c r="F38" s="32">
        <v>14.15577553</v>
      </c>
      <c r="G38" s="32">
        <v>-150.95272735703</v>
      </c>
      <c r="H38" s="38"/>
      <c r="I38" s="38"/>
    </row>
    <row r="39" ht="15.6" spans="1:9">
      <c r="A39" s="12"/>
      <c r="B39" s="12" t="s">
        <v>388</v>
      </c>
      <c r="C39" s="32">
        <v>1185.140948853</v>
      </c>
      <c r="D39" s="32">
        <v>998.403397730406</v>
      </c>
      <c r="E39" s="32">
        <v>992.378188780406</v>
      </c>
      <c r="F39" s="32">
        <v>6.02520895</v>
      </c>
      <c r="G39" s="32">
        <v>-186.737551122594</v>
      </c>
      <c r="H39" s="38"/>
      <c r="I39" s="38"/>
    </row>
    <row r="40" ht="15.6" spans="1:9">
      <c r="A40" s="12"/>
      <c r="B40" s="12" t="s">
        <v>389</v>
      </c>
      <c r="C40" s="32">
        <v>1339.819707534</v>
      </c>
      <c r="D40" s="32">
        <v>1025.05016898781</v>
      </c>
      <c r="E40" s="32">
        <v>990.035605202806</v>
      </c>
      <c r="F40" s="32">
        <v>35.014563785</v>
      </c>
      <c r="G40" s="32">
        <v>-314.769538546194</v>
      </c>
      <c r="H40" s="38"/>
      <c r="I40" s="38"/>
    </row>
    <row r="41" ht="15.6" spans="1:9">
      <c r="A41" s="12"/>
      <c r="B41" s="12" t="s">
        <v>390</v>
      </c>
      <c r="C41" s="32">
        <v>981.590491865</v>
      </c>
      <c r="D41" s="32">
        <v>1171.04345033064</v>
      </c>
      <c r="E41" s="32">
        <v>1093.20077416464</v>
      </c>
      <c r="F41" s="32">
        <v>77.842676166</v>
      </c>
      <c r="G41" s="32">
        <v>189.452958465641</v>
      </c>
      <c r="H41" s="38"/>
      <c r="I41" s="38"/>
    </row>
    <row r="42" ht="15.6" spans="1:9">
      <c r="A42" s="12">
        <v>2021</v>
      </c>
      <c r="B42" s="12" t="s">
        <v>379</v>
      </c>
      <c r="C42" s="32">
        <v>1315.216672655</v>
      </c>
      <c r="D42" s="32">
        <v>895.199007440075</v>
      </c>
      <c r="E42" s="32">
        <v>830.447285173075</v>
      </c>
      <c r="F42" s="32">
        <v>64.751722267</v>
      </c>
      <c r="G42" s="32">
        <v>-420.017665214925</v>
      </c>
      <c r="H42" s="38"/>
      <c r="I42" s="38"/>
    </row>
    <row r="43" ht="15.6" spans="1:9">
      <c r="A43" s="12"/>
      <c r="B43" s="12" t="s">
        <v>380</v>
      </c>
      <c r="C43" s="32">
        <v>1582.03753820555</v>
      </c>
      <c r="D43" s="32">
        <v>984.81272960036</v>
      </c>
      <c r="E43" s="32">
        <v>971.88901910036</v>
      </c>
      <c r="F43" s="32">
        <v>12.9237105</v>
      </c>
      <c r="G43" s="32">
        <v>-597.22480860519</v>
      </c>
      <c r="H43" s="38"/>
      <c r="I43" s="38"/>
    </row>
    <row r="44" ht="15.6" spans="1:9">
      <c r="A44" s="12"/>
      <c r="B44" s="12" t="s">
        <v>391</v>
      </c>
      <c r="C44" s="32">
        <v>1977.93363818037</v>
      </c>
      <c r="D44" s="32">
        <v>1104.92021759283</v>
      </c>
      <c r="E44" s="32">
        <v>1059.13251597683</v>
      </c>
      <c r="F44" s="32">
        <v>45.787701616</v>
      </c>
      <c r="G44" s="32">
        <v>-873.01342058754</v>
      </c>
      <c r="H44" s="38"/>
      <c r="I44" s="38"/>
    </row>
    <row r="45" ht="15.6" spans="1:9">
      <c r="A45" s="12"/>
      <c r="B45" s="12" t="s">
        <v>382</v>
      </c>
      <c r="C45" s="32">
        <v>1311.391773233</v>
      </c>
      <c r="D45" s="32">
        <v>1651.88773503464</v>
      </c>
      <c r="E45" s="32">
        <v>1639.02736071364</v>
      </c>
      <c r="F45" s="32">
        <v>12.860374321</v>
      </c>
      <c r="G45" s="32">
        <v>340.495961801635</v>
      </c>
      <c r="H45" s="38"/>
      <c r="I45" s="38"/>
    </row>
    <row r="46" ht="15.6" spans="1:9">
      <c r="A46" s="12"/>
      <c r="B46" s="12" t="s">
        <v>383</v>
      </c>
      <c r="C46" s="32">
        <v>1475.773156539</v>
      </c>
      <c r="D46" s="32">
        <v>1575.93835339888</v>
      </c>
      <c r="E46" s="32">
        <v>1535.29752421588</v>
      </c>
      <c r="F46" s="32">
        <v>40.640829183</v>
      </c>
      <c r="G46" s="32">
        <v>100.165196859878</v>
      </c>
      <c r="H46" s="38"/>
      <c r="I46" s="38"/>
    </row>
    <row r="47" ht="15.6" spans="1:9">
      <c r="A47" s="12"/>
      <c r="B47" s="12" t="s">
        <v>384</v>
      </c>
      <c r="C47" s="32">
        <v>1905.169394656</v>
      </c>
      <c r="D47" s="32">
        <v>1791.85663604587</v>
      </c>
      <c r="E47" s="32">
        <v>1780.96340693387</v>
      </c>
      <c r="F47" s="32">
        <v>10.893229112</v>
      </c>
      <c r="G47" s="32">
        <v>-113.312758610133</v>
      </c>
      <c r="H47" s="38"/>
      <c r="I47" s="38"/>
    </row>
    <row r="48" ht="15.6" spans="1:9">
      <c r="A48" s="12"/>
      <c r="B48" s="151" t="s">
        <v>385</v>
      </c>
      <c r="C48" s="32">
        <v>1740.754869636</v>
      </c>
      <c r="D48" s="32">
        <v>1677.19780355297</v>
      </c>
      <c r="E48" s="32">
        <v>1672.30634138397</v>
      </c>
      <c r="F48" s="32">
        <v>4.891462169</v>
      </c>
      <c r="G48" s="32">
        <v>-63.5570660830281</v>
      </c>
      <c r="I48" s="38"/>
    </row>
    <row r="49" ht="15.6" spans="1:9">
      <c r="A49" s="12"/>
      <c r="B49" s="151" t="s">
        <v>386</v>
      </c>
      <c r="C49" s="32">
        <v>2005.917773928</v>
      </c>
      <c r="D49" s="32">
        <v>1421.10460682859</v>
      </c>
      <c r="E49" s="32">
        <v>1415.01778821759</v>
      </c>
      <c r="F49" s="32">
        <v>6.086818611</v>
      </c>
      <c r="G49" s="32">
        <v>-584.813167099412</v>
      </c>
      <c r="I49" s="38"/>
    </row>
    <row r="50" ht="15.6" spans="1:9">
      <c r="A50" s="12"/>
      <c r="B50" s="151" t="s">
        <v>387</v>
      </c>
      <c r="C50" s="32">
        <v>1589.188659941</v>
      </c>
      <c r="D50" s="32">
        <v>2038.25273838243</v>
      </c>
      <c r="E50" s="32">
        <v>1869.41181760643</v>
      </c>
      <c r="F50" s="32">
        <v>168.840920776</v>
      </c>
      <c r="G50" s="32">
        <v>449.06407844143</v>
      </c>
      <c r="I50" s="38"/>
    </row>
    <row r="51" ht="15.6" spans="1:9">
      <c r="A51" s="12"/>
      <c r="B51" s="151" t="s">
        <v>388</v>
      </c>
      <c r="C51" s="32">
        <v>2084.494290728</v>
      </c>
      <c r="D51" s="32">
        <v>1977.17935352142</v>
      </c>
      <c r="E51" s="196">
        <v>1832.25235163942</v>
      </c>
      <c r="F51" s="13">
        <v>144.927001882</v>
      </c>
      <c r="G51" s="32">
        <v>-107.31493720658</v>
      </c>
      <c r="H51" s="278"/>
      <c r="I51" s="38"/>
    </row>
    <row r="52" ht="15.6" spans="1:9">
      <c r="A52" s="12"/>
      <c r="B52" s="151" t="s">
        <v>389</v>
      </c>
      <c r="C52" s="32">
        <v>2215.736477161</v>
      </c>
      <c r="D52" s="32">
        <v>2065.1130296665</v>
      </c>
      <c r="E52" s="196">
        <v>1925.5372109325</v>
      </c>
      <c r="F52" s="13">
        <v>139.575818734</v>
      </c>
      <c r="G52" s="32">
        <v>-150.623447494499</v>
      </c>
      <c r="H52" s="278"/>
      <c r="I52" s="38"/>
    </row>
    <row r="53" ht="15.6" spans="1:8">
      <c r="A53" s="12"/>
      <c r="B53" s="151" t="s">
        <v>390</v>
      </c>
      <c r="C53" s="32">
        <v>1640.350707599</v>
      </c>
      <c r="D53" s="32">
        <v>1724.32650270787</v>
      </c>
      <c r="E53" s="196">
        <v>1724.28984570787</v>
      </c>
      <c r="F53" s="13">
        <v>0.036657</v>
      </c>
      <c r="G53" s="32">
        <v>83.9757951088739</v>
      </c>
      <c r="H53" s="278"/>
    </row>
    <row r="54" ht="15.6" spans="1:8">
      <c r="A54" s="12">
        <v>2022</v>
      </c>
      <c r="B54" s="151" t="s">
        <v>379</v>
      </c>
      <c r="C54" s="32">
        <v>2054.60927059817</v>
      </c>
      <c r="D54" s="32">
        <v>2197.92526780018</v>
      </c>
      <c r="E54" s="196">
        <v>2190.31564635718</v>
      </c>
      <c r="F54" s="13">
        <v>7.609621443</v>
      </c>
      <c r="G54" s="32">
        <v>143.315997202015</v>
      </c>
      <c r="H54" s="278"/>
    </row>
    <row r="55" ht="15.6" spans="1:8">
      <c r="A55" s="12"/>
      <c r="B55" s="151" t="s">
        <v>380</v>
      </c>
      <c r="C55" s="32">
        <v>2013.61355912089</v>
      </c>
      <c r="D55" s="32">
        <v>2093.79455085429</v>
      </c>
      <c r="E55" s="196">
        <v>2080.43468510329</v>
      </c>
      <c r="F55" s="13">
        <v>13.359865751</v>
      </c>
      <c r="G55" s="32">
        <v>80.1809917333937</v>
      </c>
      <c r="H55" s="278"/>
    </row>
    <row r="56" ht="15.6" spans="1:8">
      <c r="A56" s="12"/>
      <c r="B56" s="151" t="s">
        <v>391</v>
      </c>
      <c r="C56" s="32">
        <v>3427.45068983248</v>
      </c>
      <c r="D56" s="32">
        <v>2810.39380812619</v>
      </c>
      <c r="E56" s="196">
        <v>2715.56121238519</v>
      </c>
      <c r="F56" s="13">
        <v>94.832595741</v>
      </c>
      <c r="G56" s="32">
        <v>-617.056881706291</v>
      </c>
      <c r="H56" s="278"/>
    </row>
    <row r="57" ht="15.6" spans="1:9">
      <c r="A57" s="12"/>
      <c r="B57" s="151" t="s">
        <v>382</v>
      </c>
      <c r="C57" s="32">
        <v>1713.699188916</v>
      </c>
      <c r="D57" s="32">
        <v>2262.10736444012</v>
      </c>
      <c r="E57" s="196">
        <v>2260.86106246612</v>
      </c>
      <c r="F57" s="13">
        <v>1.246301974</v>
      </c>
      <c r="G57" s="32">
        <v>548.408175524115</v>
      </c>
      <c r="H57" s="38"/>
      <c r="I57" s="38"/>
    </row>
    <row r="58" ht="15.6" spans="1:9">
      <c r="A58" s="12"/>
      <c r="B58" s="151" t="s">
        <v>383</v>
      </c>
      <c r="C58" s="32">
        <v>2051.813964796</v>
      </c>
      <c r="D58" s="32">
        <v>2632.30033099019</v>
      </c>
      <c r="E58" s="196">
        <v>2630.37911199019</v>
      </c>
      <c r="F58" s="13">
        <v>1.921219</v>
      </c>
      <c r="G58" s="32">
        <v>580.486366194192</v>
      </c>
      <c r="H58" s="38"/>
      <c r="I58" s="38"/>
    </row>
    <row r="59" ht="15.6" spans="1:9">
      <c r="A59" s="12"/>
      <c r="B59" s="151" t="s">
        <v>384</v>
      </c>
      <c r="C59" s="32">
        <v>2623.00101412022</v>
      </c>
      <c r="D59" s="32">
        <v>2506.47912829113</v>
      </c>
      <c r="E59" s="196">
        <v>2500.02128343813</v>
      </c>
      <c r="F59" s="13">
        <v>6.457844853</v>
      </c>
      <c r="G59" s="32">
        <v>-116.52188582909</v>
      </c>
      <c r="H59" s="38"/>
      <c r="I59" s="38"/>
    </row>
    <row r="60" ht="15.6" spans="1:9">
      <c r="A60" s="12"/>
      <c r="B60" s="151" t="s">
        <v>385</v>
      </c>
      <c r="C60" s="32">
        <v>2362.2661496404</v>
      </c>
      <c r="D60" s="32">
        <v>2177.75473189187</v>
      </c>
      <c r="E60" s="196">
        <v>2172.89028546687</v>
      </c>
      <c r="F60" s="13">
        <v>4.864446425</v>
      </c>
      <c r="G60" s="32">
        <v>-184.511417748535</v>
      </c>
      <c r="H60" s="38"/>
      <c r="I60" s="38"/>
    </row>
    <row r="61" ht="15.6" spans="1:9">
      <c r="A61" s="12"/>
      <c r="B61" s="151" t="s">
        <v>386</v>
      </c>
      <c r="C61" s="32">
        <v>2174.99934905941</v>
      </c>
      <c r="D61" s="32">
        <v>1957.36567759307</v>
      </c>
      <c r="E61" s="196">
        <v>1944.04877436307</v>
      </c>
      <c r="F61" s="13">
        <v>13.31690323</v>
      </c>
      <c r="G61" s="32">
        <v>-217.633671466346</v>
      </c>
      <c r="H61" s="38"/>
      <c r="I61" s="38"/>
    </row>
    <row r="62" ht="15.6" spans="1:9">
      <c r="A62" s="12"/>
      <c r="B62" s="151" t="s">
        <v>387</v>
      </c>
      <c r="C62" s="32">
        <v>1806.26627785618</v>
      </c>
      <c r="D62" s="32">
        <v>1799.0256707796</v>
      </c>
      <c r="E62" s="196">
        <v>1792.1657903686</v>
      </c>
      <c r="F62" s="13">
        <v>6.859880411</v>
      </c>
      <c r="G62" s="32">
        <v>-7.240607076571</v>
      </c>
      <c r="H62" s="38"/>
      <c r="I62" s="38"/>
    </row>
    <row r="63" ht="15.6" spans="1:9">
      <c r="A63" s="12"/>
      <c r="B63" s="151" t="s">
        <v>388</v>
      </c>
      <c r="C63" s="32">
        <v>2187.19032255878</v>
      </c>
      <c r="D63" s="32">
        <v>2081.24463200076</v>
      </c>
      <c r="E63" s="196">
        <v>2035.06271007076</v>
      </c>
      <c r="F63" s="13">
        <v>46.18192193</v>
      </c>
      <c r="G63" s="32">
        <v>-105.945690558024</v>
      </c>
      <c r="H63" s="38"/>
      <c r="I63" s="38"/>
    </row>
    <row r="64" ht="15.6" spans="1:9">
      <c r="A64" s="12"/>
      <c r="B64" s="151" t="s">
        <v>389</v>
      </c>
      <c r="C64" s="32">
        <v>1939.908763047</v>
      </c>
      <c r="D64" s="32">
        <v>1925.28529989303</v>
      </c>
      <c r="E64" s="196">
        <v>1916.17184706703</v>
      </c>
      <c r="F64" s="13">
        <v>9.113452826</v>
      </c>
      <c r="G64" s="32">
        <v>-14.6234631539699</v>
      </c>
      <c r="H64" s="38"/>
      <c r="I64" s="38"/>
    </row>
    <row r="65" ht="15.6" spans="1:9">
      <c r="A65" s="12"/>
      <c r="B65" s="151" t="s">
        <v>390</v>
      </c>
      <c r="C65" s="32">
        <v>1235.728859922</v>
      </c>
      <c r="D65" s="32">
        <v>2353.07839997128</v>
      </c>
      <c r="E65" s="196">
        <v>2208.78513479427</v>
      </c>
      <c r="F65" s="13">
        <v>144.293265177</v>
      </c>
      <c r="G65" s="32">
        <v>1117.34954004928</v>
      </c>
      <c r="H65" s="38"/>
      <c r="I65" s="38"/>
    </row>
    <row r="66" ht="15.6" spans="1:9">
      <c r="A66" s="12">
        <v>2023</v>
      </c>
      <c r="B66" s="151" t="s">
        <v>379</v>
      </c>
      <c r="C66" s="73">
        <v>2317.54266250415</v>
      </c>
      <c r="D66" s="73">
        <v>2286.0755542705</v>
      </c>
      <c r="E66" s="73">
        <v>2276.2535370785</v>
      </c>
      <c r="F66" s="73">
        <v>9.822017192</v>
      </c>
      <c r="G66" s="32">
        <v>-31.467108233649</v>
      </c>
      <c r="H66" s="38"/>
      <c r="I66" s="38"/>
    </row>
    <row r="67" ht="15.6" spans="1:9">
      <c r="A67" s="12"/>
      <c r="B67" s="151" t="s">
        <v>380</v>
      </c>
      <c r="C67" s="73">
        <v>1944.65629477803</v>
      </c>
      <c r="D67" s="73">
        <v>1916.08394838728</v>
      </c>
      <c r="E67" s="73">
        <v>1909.60262662628</v>
      </c>
      <c r="F67" s="73">
        <v>6.481321761</v>
      </c>
      <c r="G67" s="32">
        <v>-28.57234639075</v>
      </c>
      <c r="H67" s="38"/>
      <c r="I67" s="38"/>
    </row>
    <row r="68" ht="15.6" spans="1:9">
      <c r="A68" s="12"/>
      <c r="B68" s="151" t="s">
        <v>391</v>
      </c>
      <c r="C68" s="73">
        <v>2203.90342739098</v>
      </c>
      <c r="D68" s="73">
        <v>2284.87937909767</v>
      </c>
      <c r="E68" s="73">
        <v>2269.01027509367</v>
      </c>
      <c r="F68" s="73">
        <v>15.869104004</v>
      </c>
      <c r="G68" s="32">
        <v>80.9759517066841</v>
      </c>
      <c r="H68" s="38"/>
      <c r="I68" s="38"/>
    </row>
    <row r="69" ht="15.6" spans="1:9">
      <c r="A69" s="12"/>
      <c r="B69" s="151" t="s">
        <v>382</v>
      </c>
      <c r="C69" s="73">
        <v>1934.41919922668</v>
      </c>
      <c r="D69" s="73">
        <v>1786.2362049599</v>
      </c>
      <c r="E69" s="73">
        <v>1765.1665358789</v>
      </c>
      <c r="F69" s="73">
        <v>21.069669081</v>
      </c>
      <c r="G69" s="32">
        <v>-148.182994266782</v>
      </c>
      <c r="H69" s="38"/>
      <c r="I69" s="38"/>
    </row>
    <row r="70" ht="15.6" spans="1:9">
      <c r="A70" s="12"/>
      <c r="B70" s="151" t="s">
        <v>383</v>
      </c>
      <c r="C70" s="73">
        <v>2645.1661645242</v>
      </c>
      <c r="D70" s="73">
        <v>1887.51245398054</v>
      </c>
      <c r="E70" s="73">
        <v>1883.79326630954</v>
      </c>
      <c r="F70" s="73">
        <v>3.719187671</v>
      </c>
      <c r="G70" s="32">
        <v>-757.653710543654</v>
      </c>
      <c r="H70" s="38"/>
      <c r="I70" s="38"/>
    </row>
    <row r="71" ht="15.6" spans="1:9">
      <c r="A71" s="12"/>
      <c r="B71" s="151" t="s">
        <v>384</v>
      </c>
      <c r="C71" s="73">
        <v>1722.36339195697</v>
      </c>
      <c r="D71" s="73">
        <v>2761.38154812577</v>
      </c>
      <c r="E71" s="73">
        <v>2694.73147432877</v>
      </c>
      <c r="F71" s="73">
        <v>66.650073797</v>
      </c>
      <c r="G71" s="32">
        <v>1039.0181561688</v>
      </c>
      <c r="H71" s="38"/>
      <c r="I71" s="38"/>
    </row>
    <row r="72" ht="15.6" spans="1:7">
      <c r="A72" s="12"/>
      <c r="B72" s="151" t="s">
        <v>385</v>
      </c>
      <c r="C72" s="73">
        <v>2864.333552654</v>
      </c>
      <c r="D72" s="73">
        <v>3016.38888019706</v>
      </c>
      <c r="E72" s="73">
        <v>3002.24950759806</v>
      </c>
      <c r="F72" s="73">
        <v>14.139372599</v>
      </c>
      <c r="G72" s="32">
        <v>152.055327543061</v>
      </c>
    </row>
    <row r="73" ht="15.6" spans="1:8">
      <c r="A73" s="12"/>
      <c r="B73" s="151" t="s">
        <v>386</v>
      </c>
      <c r="C73" s="73">
        <v>3485.48272462086</v>
      </c>
      <c r="D73" s="73">
        <v>3462.59768340602</v>
      </c>
      <c r="E73" s="73">
        <v>3448.86359029803</v>
      </c>
      <c r="F73" s="73">
        <v>13.734093108</v>
      </c>
      <c r="G73" s="32">
        <v>-22.8850412148372</v>
      </c>
      <c r="H73" s="38"/>
    </row>
    <row r="74" ht="15.6" spans="1:7">
      <c r="A74" s="12"/>
      <c r="B74" s="151" t="s">
        <v>387</v>
      </c>
      <c r="C74" s="73">
        <v>2691.42082213215</v>
      </c>
      <c r="D74" s="73">
        <v>3867.61728698506</v>
      </c>
      <c r="E74" s="73">
        <v>3859.53788035406</v>
      </c>
      <c r="F74" s="73">
        <v>8.079406631</v>
      </c>
      <c r="G74" s="32">
        <v>1176.19646485291</v>
      </c>
    </row>
    <row r="75" ht="15.6" spans="1:7">
      <c r="A75" s="12"/>
      <c r="B75" s="151" t="s">
        <v>388</v>
      </c>
      <c r="C75" s="73">
        <v>3457.68616131304</v>
      </c>
      <c r="D75" s="73">
        <v>4141.07289603549</v>
      </c>
      <c r="E75" s="73">
        <v>4117.28297946349</v>
      </c>
      <c r="F75" s="73">
        <v>23.789916572</v>
      </c>
      <c r="G75" s="32">
        <v>683.386734722452</v>
      </c>
    </row>
    <row r="76" ht="15.6" spans="1:7">
      <c r="A76" s="12"/>
      <c r="B76" s="151" t="s">
        <v>389</v>
      </c>
      <c r="C76" s="73">
        <v>3014.70916028018</v>
      </c>
      <c r="D76" s="73">
        <v>4267.9799982961</v>
      </c>
      <c r="E76" s="73">
        <v>4259.05508264511</v>
      </c>
      <c r="F76" s="73">
        <v>8.924915651</v>
      </c>
      <c r="G76" s="32">
        <v>1253.27083801592</v>
      </c>
    </row>
    <row r="77" ht="15.6" spans="1:7">
      <c r="A77" s="12"/>
      <c r="B77" s="151" t="s">
        <v>390</v>
      </c>
      <c r="C77" s="73">
        <v>2581.38197480911</v>
      </c>
      <c r="D77" s="73">
        <v>4284.566608944</v>
      </c>
      <c r="E77" s="73">
        <v>4266.373005729</v>
      </c>
      <c r="F77" s="73">
        <v>18.193603215</v>
      </c>
      <c r="G77" s="32">
        <v>1703.1846341349</v>
      </c>
    </row>
    <row r="78" ht="15.6" spans="1:11">
      <c r="A78" s="12">
        <v>2024</v>
      </c>
      <c r="B78" s="151" t="s">
        <v>379</v>
      </c>
      <c r="C78" s="151">
        <v>3716.19553137646</v>
      </c>
      <c r="D78" s="151">
        <v>6246.95773637797</v>
      </c>
      <c r="E78" s="151">
        <v>6239.66606429797</v>
      </c>
      <c r="F78" s="151">
        <v>7.29167208</v>
      </c>
      <c r="G78" s="151">
        <v>2530.76220500151</v>
      </c>
      <c r="K78" s="38"/>
    </row>
    <row r="79" ht="15.6" spans="1:11">
      <c r="A79" s="12"/>
      <c r="B79" s="151" t="s">
        <v>380</v>
      </c>
      <c r="C79" s="151">
        <v>5457.14657339615</v>
      </c>
      <c r="D79" s="151">
        <v>6657.42174921332</v>
      </c>
      <c r="E79" s="151">
        <v>6647.32315044732</v>
      </c>
      <c r="F79" s="151">
        <v>10.098598766</v>
      </c>
      <c r="G79" s="151">
        <v>1200.27517581717</v>
      </c>
      <c r="K79" s="38"/>
    </row>
    <row r="80" ht="15.6" spans="1:11">
      <c r="A80" s="12"/>
      <c r="B80" s="151" t="s">
        <v>391</v>
      </c>
      <c r="C80" s="151">
        <v>5576.18204472304</v>
      </c>
      <c r="D80" s="151">
        <v>6271.81431821296</v>
      </c>
      <c r="E80" s="151">
        <v>6264.87084601696</v>
      </c>
      <c r="F80" s="151">
        <v>6.943472196</v>
      </c>
      <c r="G80" s="151">
        <v>695.632273489915</v>
      </c>
      <c r="K80" s="38"/>
    </row>
    <row r="81" ht="15.6" spans="1:11">
      <c r="A81" s="12"/>
      <c r="B81" s="151" t="s">
        <v>382</v>
      </c>
      <c r="C81" s="151">
        <v>4579.3967758497</v>
      </c>
      <c r="D81" s="151">
        <v>5546.70384370833</v>
      </c>
      <c r="E81" s="151">
        <v>5498.51656636733</v>
      </c>
      <c r="F81" s="151">
        <v>48.187277341</v>
      </c>
      <c r="G81" s="151">
        <v>967.307067858631</v>
      </c>
      <c r="K81" s="38"/>
    </row>
    <row r="82" ht="15.6" spans="1:11">
      <c r="A82" s="12"/>
      <c r="B82" s="151" t="s">
        <v>383</v>
      </c>
      <c r="C82" s="151">
        <v>5392.15324686462</v>
      </c>
      <c r="D82" s="151">
        <v>6030.00755457191</v>
      </c>
      <c r="E82" s="151">
        <v>5993.78514785991</v>
      </c>
      <c r="F82" s="151">
        <v>36.222406712</v>
      </c>
      <c r="G82" s="151">
        <v>637.854307707291</v>
      </c>
      <c r="K82" s="38"/>
    </row>
    <row r="83" ht="15.6" spans="1:11">
      <c r="A83" s="12"/>
      <c r="B83" s="151" t="s">
        <v>384</v>
      </c>
      <c r="C83" s="151">
        <v>3997.79130104644</v>
      </c>
      <c r="D83" s="151">
        <v>6137.69583238928</v>
      </c>
      <c r="E83" s="151">
        <v>6047.93257882128</v>
      </c>
      <c r="F83" s="151">
        <v>89.763253568</v>
      </c>
      <c r="G83" s="151">
        <v>2139.90453134284</v>
      </c>
      <c r="J83" s="53"/>
      <c r="K83" s="38"/>
    </row>
    <row r="84" ht="15.6" spans="1:8">
      <c r="A84" s="12"/>
      <c r="B84" s="151" t="s">
        <v>385</v>
      </c>
      <c r="C84" s="151">
        <v>4971.86947846028</v>
      </c>
      <c r="D84" s="151">
        <v>7094.19245418218</v>
      </c>
      <c r="E84" s="151">
        <v>6543.75913079218</v>
      </c>
      <c r="F84" s="151">
        <v>550.43332339</v>
      </c>
      <c r="G84" s="151">
        <v>2122.3229757219</v>
      </c>
      <c r="H84" s="38"/>
    </row>
    <row r="85" ht="15.6" spans="1:8">
      <c r="A85" s="12"/>
      <c r="B85" s="151" t="s">
        <v>386</v>
      </c>
      <c r="C85" s="151">
        <v>5545.91517784988</v>
      </c>
      <c r="D85" s="151">
        <v>7345.00678541367</v>
      </c>
      <c r="E85" s="151">
        <v>7263.89043583367</v>
      </c>
      <c r="F85" s="151">
        <v>81.11634958</v>
      </c>
      <c r="G85" s="151">
        <v>1799.09160756378</v>
      </c>
      <c r="H85" s="38"/>
    </row>
    <row r="86" ht="15.6" spans="1:8">
      <c r="A86" s="12"/>
      <c r="B86" s="151" t="s">
        <v>387</v>
      </c>
      <c r="C86" s="151">
        <v>4763.39318057143</v>
      </c>
      <c r="D86" s="151">
        <v>6097.96956100895</v>
      </c>
      <c r="E86" s="151">
        <v>6046.29956348195</v>
      </c>
      <c r="F86" s="151">
        <v>51.669997527</v>
      </c>
      <c r="G86" s="151">
        <v>1334.57638043752</v>
      </c>
      <c r="H86" s="38"/>
    </row>
    <row r="87" ht="15.6" spans="1:10">
      <c r="A87" s="12"/>
      <c r="B87" s="151" t="s">
        <v>388</v>
      </c>
      <c r="C87" s="151">
        <v>5484.06841516227</v>
      </c>
      <c r="D87" s="151">
        <v>6528.66289972365</v>
      </c>
      <c r="E87" s="151">
        <v>6500.19378120565</v>
      </c>
      <c r="F87" s="151">
        <v>28.469118518</v>
      </c>
      <c r="G87" s="151">
        <v>1044.59448456138</v>
      </c>
      <c r="H87" s="38"/>
      <c r="J87" s="53"/>
    </row>
    <row r="88" ht="15.6" spans="1:8">
      <c r="A88" s="12"/>
      <c r="B88" s="151" t="s">
        <v>389</v>
      </c>
      <c r="C88" s="151">
        <v>5667.96244493265</v>
      </c>
      <c r="D88" s="151">
        <v>6506.99055667567</v>
      </c>
      <c r="E88" s="151">
        <v>6457.68239515867</v>
      </c>
      <c r="F88" s="151">
        <v>49.308161517</v>
      </c>
      <c r="G88" s="151">
        <v>839.028111743022</v>
      </c>
      <c r="H88" s="38"/>
    </row>
    <row r="89" ht="15.6" spans="1:8">
      <c r="A89" s="12"/>
      <c r="B89" s="151" t="s">
        <v>390</v>
      </c>
      <c r="C89" s="151">
        <v>5438.47467242087</v>
      </c>
      <c r="D89" s="151">
        <v>6978.67566329888</v>
      </c>
      <c r="E89" s="151">
        <v>6903.91751471688</v>
      </c>
      <c r="F89" s="151">
        <v>74.758148582</v>
      </c>
      <c r="G89" s="151">
        <v>1540.20099087801</v>
      </c>
      <c r="H89" s="38"/>
    </row>
    <row r="90" ht="15.6" spans="1:8">
      <c r="A90" s="12"/>
      <c r="B90" s="275" t="s">
        <v>379</v>
      </c>
      <c r="C90" s="275">
        <v>5493.7284805547</v>
      </c>
      <c r="D90" s="275">
        <v>6791.84734638656</v>
      </c>
      <c r="E90" s="275">
        <v>6777.76282209156</v>
      </c>
      <c r="F90" s="275">
        <v>14.084524295</v>
      </c>
      <c r="G90" s="275">
        <v>1298.11886583186</v>
      </c>
      <c r="H90" s="38"/>
    </row>
    <row r="91" ht="15.6" spans="1:8">
      <c r="A91" s="12"/>
      <c r="B91" s="275" t="s">
        <v>380</v>
      </c>
      <c r="C91" s="275">
        <v>5134.19114241054</v>
      </c>
      <c r="D91" s="275">
        <v>7014.75968697943</v>
      </c>
      <c r="E91" s="275">
        <v>7011.39564130044</v>
      </c>
      <c r="F91" s="275">
        <v>3.364045679</v>
      </c>
      <c r="G91" s="275">
        <v>1880.56854456889</v>
      </c>
      <c r="H91" s="38"/>
    </row>
    <row r="92" ht="15.6" spans="1:8">
      <c r="A92" s="12"/>
      <c r="B92" s="275" t="s">
        <v>391</v>
      </c>
      <c r="C92" s="275">
        <v>4798.25512207838</v>
      </c>
      <c r="D92" s="275">
        <v>6791.87371927365</v>
      </c>
      <c r="E92" s="275">
        <v>6750.01190559266</v>
      </c>
      <c r="F92" s="275">
        <v>41.861813681</v>
      </c>
      <c r="G92" s="275">
        <v>1993.61859719527</v>
      </c>
      <c r="H92" s="38"/>
    </row>
    <row r="93" spans="3:10">
      <c r="C93" s="38"/>
      <c r="D93" s="38"/>
      <c r="G93" s="38"/>
      <c r="J93" s="53"/>
    </row>
  </sheetData>
  <mergeCells count="1">
    <mergeCell ref="A1:G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zoomScale="80" zoomScaleNormal="80" topLeftCell="C101" workbookViewId="0">
      <selection activeCell="F112" sqref="F112"/>
    </sheetView>
  </sheetViews>
  <sheetFormatPr defaultColWidth="9.17592592592593" defaultRowHeight="15.6"/>
  <cols>
    <col min="1" max="1" width="18.4537037037037" customWidth="1"/>
    <col min="2" max="2" width="9.81481481481481" style="1" customWidth="1"/>
    <col min="3" max="3" width="18.7222222222222" style="1" customWidth="1"/>
    <col min="4" max="4" width="16.8148148148148" style="1" customWidth="1"/>
    <col min="5" max="5" width="18.4537037037037" style="125" customWidth="1"/>
    <col min="6" max="6" width="14" style="1" customWidth="1"/>
    <col min="7" max="7" width="14.4537037037037" style="125" customWidth="1"/>
    <col min="8" max="8" width="17.4537037037037" style="1" customWidth="1"/>
    <col min="9" max="9" width="15.6296296296296" style="15" customWidth="1"/>
    <col min="10" max="10" width="17.8148148148148" style="1" customWidth="1"/>
    <col min="11" max="13" width="12.8148148148148" style="125" customWidth="1"/>
    <col min="14" max="15" width="12.8148148148148" style="1" customWidth="1"/>
    <col min="16" max="16" width="15.1759259259259" style="177" customWidth="1"/>
    <col min="17" max="17" width="18.8148148148148" style="1" customWidth="1"/>
    <col min="19" max="19" width="16.8148148148148" customWidth="1"/>
  </cols>
  <sheetData>
    <row r="1" spans="3:16">
      <c r="C1" s="178"/>
      <c r="D1" s="178"/>
      <c r="E1" s="178"/>
      <c r="F1" s="178"/>
      <c r="G1" s="178"/>
      <c r="H1" s="178"/>
      <c r="I1" s="178"/>
      <c r="J1" s="178"/>
      <c r="P1" s="203"/>
    </row>
    <row r="2" spans="3:16">
      <c r="C2" s="178"/>
      <c r="D2" s="178"/>
      <c r="E2" s="178"/>
      <c r="F2" s="178"/>
      <c r="G2" s="178"/>
      <c r="H2" s="178"/>
      <c r="I2" s="178"/>
      <c r="J2" s="178"/>
      <c r="P2" s="203"/>
    </row>
    <row r="3" ht="17.4" spans="1:17">
      <c r="A3" s="75" t="s">
        <v>641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7">
      <c r="A4" s="28" t="s">
        <v>637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9">
      <c r="A5" s="179"/>
      <c r="B5" s="17"/>
      <c r="C5" s="150" t="s">
        <v>642</v>
      </c>
      <c r="D5" s="70"/>
      <c r="E5" s="70"/>
      <c r="F5" s="70"/>
      <c r="G5" s="70"/>
      <c r="H5" s="70"/>
      <c r="I5" s="70"/>
      <c r="J5" s="70"/>
      <c r="K5" s="70"/>
      <c r="L5" s="204" t="s">
        <v>643</v>
      </c>
      <c r="M5" s="204"/>
      <c r="N5" s="204"/>
      <c r="O5" s="204"/>
      <c r="P5" s="204"/>
      <c r="Q5" s="204"/>
      <c r="R5" s="221"/>
      <c r="S5" s="221"/>
    </row>
    <row r="6" ht="112.05" spans="1:19">
      <c r="A6" s="180"/>
      <c r="B6" s="30"/>
      <c r="C6" s="181" t="s">
        <v>637</v>
      </c>
      <c r="D6" s="182" t="s">
        <v>644</v>
      </c>
      <c r="E6" s="183" t="s">
        <v>645</v>
      </c>
      <c r="F6" s="182" t="s">
        <v>646</v>
      </c>
      <c r="G6" s="183" t="s">
        <v>647</v>
      </c>
      <c r="H6" s="182" t="s">
        <v>648</v>
      </c>
      <c r="I6" s="205" t="s">
        <v>649</v>
      </c>
      <c r="J6" s="182" t="s">
        <v>650</v>
      </c>
      <c r="K6" s="183" t="s">
        <v>651</v>
      </c>
      <c r="L6" s="183" t="s">
        <v>652</v>
      </c>
      <c r="M6" s="183" t="s">
        <v>653</v>
      </c>
      <c r="N6" s="182" t="s">
        <v>654</v>
      </c>
      <c r="O6" s="182" t="s">
        <v>655</v>
      </c>
      <c r="P6" s="206" t="s">
        <v>656</v>
      </c>
      <c r="Q6" s="182" t="s">
        <v>657</v>
      </c>
      <c r="R6" s="176"/>
      <c r="S6" s="176"/>
    </row>
    <row r="7" ht="15" customHeight="1" spans="1:19">
      <c r="A7" s="184">
        <v>2025</v>
      </c>
      <c r="B7" s="185" t="s">
        <v>374</v>
      </c>
      <c r="C7" s="185">
        <v>20598480.7526397</v>
      </c>
      <c r="D7" s="185">
        <v>1704145.08445795</v>
      </c>
      <c r="E7" s="185">
        <v>1044591.17666944</v>
      </c>
      <c r="F7" s="185">
        <v>58865.87060783</v>
      </c>
      <c r="G7" s="185">
        <v>65846.401486858</v>
      </c>
      <c r="H7" s="185">
        <v>294427.292445085</v>
      </c>
      <c r="I7" s="185">
        <v>12955028.2024668</v>
      </c>
      <c r="J7" s="185">
        <v>4475576.72450568</v>
      </c>
      <c r="K7" s="185">
        <v>8.27315909810273</v>
      </c>
      <c r="L7" s="185">
        <v>5.07120495542167</v>
      </c>
      <c r="M7" s="185">
        <v>0.285777729507</v>
      </c>
      <c r="N7" s="185">
        <v>0.319666301013097</v>
      </c>
      <c r="O7" s="185">
        <v>1.42936411661018</v>
      </c>
      <c r="P7" s="185">
        <v>62.8931247796352</v>
      </c>
      <c r="Q7" s="185">
        <v>21.72770301971</v>
      </c>
      <c r="R7" s="176"/>
      <c r="S7" s="176"/>
    </row>
    <row r="8" ht="15" customHeight="1" spans="1:17">
      <c r="A8" s="186">
        <v>2024</v>
      </c>
      <c r="B8" s="187" t="s">
        <v>368</v>
      </c>
      <c r="C8" s="187">
        <v>77442098.9547767</v>
      </c>
      <c r="D8" s="187">
        <v>4439884.77332061</v>
      </c>
      <c r="E8" s="187">
        <v>1845438.21302435</v>
      </c>
      <c r="F8" s="187">
        <v>260375.426715234</v>
      </c>
      <c r="G8" s="187">
        <v>262921.458395417</v>
      </c>
      <c r="H8" s="187">
        <v>2285017.36941489</v>
      </c>
      <c r="I8" s="187">
        <v>55285398.2333881</v>
      </c>
      <c r="J8" s="187">
        <v>13063063.4805182</v>
      </c>
      <c r="K8" s="187">
        <v>5.73316688628666</v>
      </c>
      <c r="L8" s="187">
        <v>2.38299095444458</v>
      </c>
      <c r="M8" s="187">
        <v>0.33621948556338</v>
      </c>
      <c r="N8" s="187">
        <v>0.339507143974692</v>
      </c>
      <c r="O8" s="187">
        <v>2.95061394287525</v>
      </c>
      <c r="P8" s="187">
        <v>71.3893334240239</v>
      </c>
      <c r="Q8" s="187">
        <v>16.8681681628316</v>
      </c>
    </row>
    <row r="9" spans="1:17">
      <c r="A9" s="12">
        <v>2023</v>
      </c>
      <c r="B9" s="12" t="s">
        <v>368</v>
      </c>
      <c r="C9" s="188">
        <v>35962392.4426854</v>
      </c>
      <c r="D9" s="188">
        <v>1244471.36607631</v>
      </c>
      <c r="E9" s="188">
        <v>864137.082251242</v>
      </c>
      <c r="F9" s="188">
        <v>137592.247638903</v>
      </c>
      <c r="G9" s="188">
        <v>89165.60409026</v>
      </c>
      <c r="H9" s="188">
        <v>778435.860383752</v>
      </c>
      <c r="I9" s="188">
        <v>29000603.5704306</v>
      </c>
      <c r="J9" s="188">
        <v>3847986.71181437</v>
      </c>
      <c r="K9" s="188">
        <v>3.46047991122858</v>
      </c>
      <c r="L9" s="188">
        <v>2.4028909745881</v>
      </c>
      <c r="M9" s="188">
        <v>0.382600373037441</v>
      </c>
      <c r="N9" s="188">
        <v>0.247941246490668</v>
      </c>
      <c r="O9" s="188">
        <v>2.16458307556811</v>
      </c>
      <c r="P9" s="188">
        <v>80.6414746089263</v>
      </c>
      <c r="Q9" s="188">
        <v>10.7000298101609</v>
      </c>
    </row>
    <row r="10" spans="1:19">
      <c r="A10" s="12">
        <v>2022</v>
      </c>
      <c r="B10" s="12" t="s">
        <v>368</v>
      </c>
      <c r="C10" s="188">
        <v>26796754.8626317</v>
      </c>
      <c r="D10" s="188">
        <v>598151.706602544</v>
      </c>
      <c r="E10" s="188">
        <v>1027370.0294867</v>
      </c>
      <c r="F10" s="188">
        <v>84173.287953477</v>
      </c>
      <c r="G10" s="188">
        <v>66257.295542755</v>
      </c>
      <c r="H10" s="188">
        <v>781082.226775574</v>
      </c>
      <c r="I10" s="207">
        <v>21099177.5842494</v>
      </c>
      <c r="J10" s="188">
        <v>3140542.73202128</v>
      </c>
      <c r="K10" s="208">
        <v>2.23217964141125</v>
      </c>
      <c r="L10" s="208">
        <v>3.83393449973069</v>
      </c>
      <c r="M10" s="208">
        <v>0.314117468271717</v>
      </c>
      <c r="N10" s="208">
        <v>0.247258654573698</v>
      </c>
      <c r="O10" s="208">
        <v>2.91483887052607</v>
      </c>
      <c r="P10" s="209">
        <v>78.7378087100851</v>
      </c>
      <c r="Q10" s="208">
        <v>11.7198621554015</v>
      </c>
      <c r="R10" s="176"/>
      <c r="S10" s="176"/>
    </row>
    <row r="11" spans="1:20">
      <c r="A11" s="12">
        <v>2021</v>
      </c>
      <c r="B11" s="189" t="s">
        <v>368</v>
      </c>
      <c r="C11" s="188">
        <v>18907788.7137724</v>
      </c>
      <c r="D11" s="188">
        <v>504894.891397552</v>
      </c>
      <c r="E11" s="190">
        <v>505858.933193505</v>
      </c>
      <c r="F11" s="188">
        <v>56075.849046032</v>
      </c>
      <c r="G11" s="190">
        <v>89694.939944111</v>
      </c>
      <c r="H11" s="188">
        <v>984560.982260765</v>
      </c>
      <c r="I11" s="207">
        <v>14410769.0836675</v>
      </c>
      <c r="J11" s="188">
        <v>2355934.11779224</v>
      </c>
      <c r="K11" s="188">
        <v>2.67030110734095</v>
      </c>
      <c r="L11" s="188">
        <v>2.67539975642439</v>
      </c>
      <c r="M11" s="188">
        <v>0.296575394906895</v>
      </c>
      <c r="N11" s="188">
        <v>0.474380908851479</v>
      </c>
      <c r="O11" s="188">
        <v>5.20717148454071</v>
      </c>
      <c r="P11" s="210">
        <v>76.2160467404138</v>
      </c>
      <c r="Q11" s="208">
        <v>12.4601250492934</v>
      </c>
      <c r="R11" s="38"/>
      <c r="S11" s="222"/>
      <c r="T11" s="222"/>
    </row>
    <row r="12" spans="1:20">
      <c r="A12" s="12">
        <v>2020</v>
      </c>
      <c r="B12" s="12" t="s">
        <v>368</v>
      </c>
      <c r="C12" s="188">
        <v>12522684.4438475</v>
      </c>
      <c r="D12" s="188">
        <v>321539.2472149</v>
      </c>
      <c r="E12" s="190">
        <v>118874.882893001</v>
      </c>
      <c r="F12" s="188">
        <v>13342.661117416</v>
      </c>
      <c r="G12" s="190">
        <v>18823.05362577</v>
      </c>
      <c r="H12" s="188">
        <v>960822.678608828</v>
      </c>
      <c r="I12" s="207">
        <v>9444655.98263812</v>
      </c>
      <c r="J12" s="188">
        <v>1644625.93774944</v>
      </c>
      <c r="K12" s="188">
        <v>2.56765431291272</v>
      </c>
      <c r="L12" s="188">
        <v>0.949276358643737</v>
      </c>
      <c r="M12" s="188">
        <v>0.106547930495617</v>
      </c>
      <c r="N12" s="188">
        <v>0.150311650111234</v>
      </c>
      <c r="O12" s="188">
        <v>7.6726574315373</v>
      </c>
      <c r="P12" s="210">
        <v>75.4203783141592</v>
      </c>
      <c r="Q12" s="208">
        <v>13.1331740021403</v>
      </c>
      <c r="R12" s="38"/>
      <c r="S12" s="222"/>
      <c r="T12" s="222"/>
    </row>
    <row r="13" ht="15" customHeight="1" spans="1:19">
      <c r="A13" s="184">
        <v>2025</v>
      </c>
      <c r="B13" s="185" t="s">
        <v>375</v>
      </c>
      <c r="C13" s="185">
        <v>20598480.7526396</v>
      </c>
      <c r="D13" s="185">
        <v>1704145.08445795</v>
      </c>
      <c r="E13" s="185">
        <v>1044591.17666944</v>
      </c>
      <c r="F13" s="185">
        <v>58865.87060783</v>
      </c>
      <c r="G13" s="185">
        <v>65846.401486858</v>
      </c>
      <c r="H13" s="185">
        <v>294427.292445085</v>
      </c>
      <c r="I13" s="185">
        <v>12955028.2024668</v>
      </c>
      <c r="J13" s="185">
        <v>4475576.72450568</v>
      </c>
      <c r="K13" s="185">
        <v>8.27315909810274</v>
      </c>
      <c r="L13" s="185">
        <v>5.07120495542167</v>
      </c>
      <c r="M13" s="185">
        <v>0.285777729507</v>
      </c>
      <c r="N13" s="185">
        <v>0.319666301013097</v>
      </c>
      <c r="O13" s="185">
        <v>1.42936411661018</v>
      </c>
      <c r="P13" s="185">
        <v>62.8931247796352</v>
      </c>
      <c r="Q13" s="185">
        <v>21.72770301971</v>
      </c>
      <c r="R13" s="176"/>
      <c r="S13" s="176"/>
    </row>
    <row r="14" ht="14.4" spans="1:20">
      <c r="A14" s="186">
        <v>2024</v>
      </c>
      <c r="B14" s="187" t="s">
        <v>378</v>
      </c>
      <c r="C14" s="187">
        <v>20014329.1196982</v>
      </c>
      <c r="D14" s="187">
        <v>1540457.40931809</v>
      </c>
      <c r="E14" s="187">
        <v>671119.50086272</v>
      </c>
      <c r="F14" s="187">
        <v>60703.36565564</v>
      </c>
      <c r="G14" s="187">
        <v>76022.56766685</v>
      </c>
      <c r="H14" s="187">
        <v>494220.01776412</v>
      </c>
      <c r="I14" s="187">
        <v>13783003.496528</v>
      </c>
      <c r="J14" s="187">
        <v>3388802.76190273</v>
      </c>
      <c r="K14" s="187">
        <v>7.69677264776248</v>
      </c>
      <c r="L14" s="187">
        <v>3.3531950876245</v>
      </c>
      <c r="M14" s="187">
        <v>0.30329952751649</v>
      </c>
      <c r="N14" s="187">
        <v>0.379840699192002</v>
      </c>
      <c r="O14" s="187">
        <v>2.46933092190288</v>
      </c>
      <c r="P14" s="187">
        <v>68.8656782552994</v>
      </c>
      <c r="Q14" s="187">
        <v>16.9318828607023</v>
      </c>
      <c r="R14" s="38"/>
      <c r="S14" s="222"/>
      <c r="T14" s="222"/>
    </row>
    <row r="15" ht="14.4" spans="1:20">
      <c r="A15" s="186"/>
      <c r="B15" s="187" t="s">
        <v>377</v>
      </c>
      <c r="C15" s="187">
        <v>20537168.8006048</v>
      </c>
      <c r="D15" s="187">
        <v>890717.138371402</v>
      </c>
      <c r="E15" s="187">
        <v>439819.566151151</v>
      </c>
      <c r="F15" s="187">
        <v>77701.264015114</v>
      </c>
      <c r="G15" s="187">
        <v>60739.98576413</v>
      </c>
      <c r="H15" s="187">
        <v>1041282.09341222</v>
      </c>
      <c r="I15" s="187">
        <v>13406367.2241056</v>
      </c>
      <c r="J15" s="187">
        <v>4620541.52878519</v>
      </c>
      <c r="K15" s="187">
        <v>4.33709800517962</v>
      </c>
      <c r="L15" s="187">
        <v>2.14157837636412</v>
      </c>
      <c r="M15" s="187">
        <v>0.37834457499724</v>
      </c>
      <c r="N15" s="187">
        <v>0.295756373986376</v>
      </c>
      <c r="O15" s="187">
        <v>5.07023194638959</v>
      </c>
      <c r="P15" s="187">
        <v>65.2785559405383</v>
      </c>
      <c r="Q15" s="187">
        <v>22.4984347825447</v>
      </c>
      <c r="R15" s="38"/>
      <c r="S15" s="222"/>
      <c r="T15" s="222"/>
    </row>
    <row r="16" ht="15" customHeight="1" spans="1:20">
      <c r="A16" s="186"/>
      <c r="B16" s="187" t="s">
        <v>376</v>
      </c>
      <c r="C16" s="187">
        <v>17714407.2306695</v>
      </c>
      <c r="D16" s="187">
        <v>973686.50172271</v>
      </c>
      <c r="E16" s="187">
        <v>381745.3873668</v>
      </c>
      <c r="F16" s="187">
        <v>58559.34097761</v>
      </c>
      <c r="G16" s="187">
        <v>67195.510825537</v>
      </c>
      <c r="H16" s="187">
        <v>480819.33929917</v>
      </c>
      <c r="I16" s="211">
        <v>12609394.8565594</v>
      </c>
      <c r="J16" s="187">
        <v>3143006.29391829</v>
      </c>
      <c r="K16" s="187">
        <v>5.49657964302038</v>
      </c>
      <c r="L16" s="187">
        <v>2.15499950066561</v>
      </c>
      <c r="M16" s="187">
        <v>0.33057465719894</v>
      </c>
      <c r="N16" s="187">
        <v>0.379326894490713</v>
      </c>
      <c r="O16" s="187">
        <v>2.71428410241531</v>
      </c>
      <c r="P16" s="187">
        <v>71.1815794475379</v>
      </c>
      <c r="Q16" s="187">
        <v>17.7426557546713</v>
      </c>
      <c r="R16" s="38"/>
      <c r="S16" s="222"/>
      <c r="T16" s="222"/>
    </row>
    <row r="17" ht="15" customHeight="1" spans="1:20">
      <c r="A17" s="186"/>
      <c r="B17" s="187" t="s">
        <v>375</v>
      </c>
      <c r="C17" s="187">
        <v>19176193.8038042</v>
      </c>
      <c r="D17" s="187">
        <v>1035023.72390841</v>
      </c>
      <c r="E17" s="187">
        <v>352753.758643683</v>
      </c>
      <c r="F17" s="187">
        <v>63411.45606687</v>
      </c>
      <c r="G17" s="187">
        <v>58963.3941389</v>
      </c>
      <c r="H17" s="187">
        <v>268695.918939378</v>
      </c>
      <c r="I17" s="211">
        <v>15486632.656195</v>
      </c>
      <c r="J17" s="187">
        <v>1910712.89591198</v>
      </c>
      <c r="K17" s="187">
        <v>5.39744088163667</v>
      </c>
      <c r="L17" s="187">
        <v>1.8395400164015</v>
      </c>
      <c r="M17" s="187">
        <v>0.330678010014116</v>
      </c>
      <c r="N17" s="187">
        <v>0.307482260255435</v>
      </c>
      <c r="O17" s="187">
        <v>1.40119526162733</v>
      </c>
      <c r="P17" s="187">
        <v>80.7596794997073</v>
      </c>
      <c r="Q17" s="187">
        <v>9.96398407035772</v>
      </c>
      <c r="R17" s="38"/>
      <c r="S17" s="222"/>
      <c r="T17" s="222"/>
    </row>
    <row r="18" spans="1:20">
      <c r="A18" s="191">
        <v>2023</v>
      </c>
      <c r="B18" s="187" t="s">
        <v>378</v>
      </c>
      <c r="C18" s="188">
        <v>12693619.5032756</v>
      </c>
      <c r="D18" s="188">
        <v>463971.757744516</v>
      </c>
      <c r="E18" s="188">
        <v>329411.647282429</v>
      </c>
      <c r="F18" s="188">
        <v>35872.321701543</v>
      </c>
      <c r="G18" s="188">
        <v>31043.42789254</v>
      </c>
      <c r="H18" s="188">
        <v>234964.256244102</v>
      </c>
      <c r="I18" s="207">
        <v>10310703.9333078</v>
      </c>
      <c r="J18" s="188">
        <v>1287652.15910264</v>
      </c>
      <c r="K18" s="190">
        <v>3.65515728295454</v>
      </c>
      <c r="L18" s="190">
        <v>2.59509627807438</v>
      </c>
      <c r="M18" s="190">
        <v>0.282601205214054</v>
      </c>
      <c r="N18" s="190">
        <v>0.244559307016641</v>
      </c>
      <c r="O18" s="190">
        <v>1.85104221993947</v>
      </c>
      <c r="P18" s="212">
        <v>81.2274539239745</v>
      </c>
      <c r="Q18" s="190">
        <v>10.1440897828264</v>
      </c>
      <c r="R18" s="38"/>
      <c r="S18" s="222"/>
      <c r="T18" s="222"/>
    </row>
    <row r="19" spans="1:20">
      <c r="A19" s="192"/>
      <c r="B19" s="187" t="s">
        <v>377</v>
      </c>
      <c r="C19" s="188">
        <v>10346603.8505882</v>
      </c>
      <c r="D19" s="188">
        <v>219989.668658191</v>
      </c>
      <c r="E19" s="188">
        <v>189216.173265231</v>
      </c>
      <c r="F19" s="188">
        <v>41610.96548786</v>
      </c>
      <c r="G19" s="188">
        <v>26571.0774484</v>
      </c>
      <c r="H19" s="188">
        <v>200185.175939332</v>
      </c>
      <c r="I19" s="207">
        <v>8535612.1947161</v>
      </c>
      <c r="J19" s="188">
        <v>1133418.59507304</v>
      </c>
      <c r="K19" s="190">
        <v>2.12620171637948</v>
      </c>
      <c r="L19" s="190">
        <v>1.82877566395349</v>
      </c>
      <c r="M19" s="190">
        <v>0.402170278177748</v>
      </c>
      <c r="N19" s="190">
        <v>0.256809653023389</v>
      </c>
      <c r="O19" s="190">
        <v>1.93479115302122</v>
      </c>
      <c r="P19" s="212">
        <v>82.4967527313892</v>
      </c>
      <c r="Q19" s="190">
        <v>10.9544988040555</v>
      </c>
      <c r="R19" s="38"/>
      <c r="S19" s="222"/>
      <c r="T19" s="222"/>
    </row>
    <row r="20" spans="1:20">
      <c r="A20" s="192"/>
      <c r="B20" s="187" t="s">
        <v>376</v>
      </c>
      <c r="C20" s="188">
        <v>6435130.20706622</v>
      </c>
      <c r="D20" s="188">
        <v>280870.230259717</v>
      </c>
      <c r="E20" s="188">
        <v>145621.080145408</v>
      </c>
      <c r="F20" s="188">
        <v>34088.07689373</v>
      </c>
      <c r="G20" s="188">
        <v>15957.7827021</v>
      </c>
      <c r="H20" s="188">
        <v>212141.095283531</v>
      </c>
      <c r="I20" s="207">
        <v>5005707.77217629</v>
      </c>
      <c r="J20" s="188">
        <v>740744.16960544</v>
      </c>
      <c r="K20" s="190">
        <v>4.36463942798395</v>
      </c>
      <c r="L20" s="190">
        <v>2.26290806028301</v>
      </c>
      <c r="M20" s="190">
        <v>0.529718526228093</v>
      </c>
      <c r="N20" s="190">
        <v>0.247979173515048</v>
      </c>
      <c r="O20" s="190">
        <v>3.29660921313737</v>
      </c>
      <c r="P20" s="212">
        <v>77.7872026067115</v>
      </c>
      <c r="Q20" s="190">
        <v>11.510942992141</v>
      </c>
      <c r="R20" s="38"/>
      <c r="S20" s="222"/>
      <c r="T20" s="222"/>
    </row>
    <row r="21" spans="1:20">
      <c r="A21" s="192"/>
      <c r="B21" s="12" t="s">
        <v>375</v>
      </c>
      <c r="C21" s="13">
        <v>6487038.88175545</v>
      </c>
      <c r="D21" s="13">
        <v>279639.709413888</v>
      </c>
      <c r="E21" s="13">
        <v>199888.181558174</v>
      </c>
      <c r="F21" s="13">
        <v>26020.88355577</v>
      </c>
      <c r="G21" s="13">
        <v>15593.31604722</v>
      </c>
      <c r="H21" s="13">
        <v>131145.332916787</v>
      </c>
      <c r="I21" s="73">
        <v>5148579.67023036</v>
      </c>
      <c r="J21" s="13">
        <v>686171.78803325</v>
      </c>
      <c r="K21" s="213">
        <v>4.310745079706</v>
      </c>
      <c r="L21" s="213">
        <v>3.08134705528515</v>
      </c>
      <c r="M21" s="213">
        <v>0.401121128300198</v>
      </c>
      <c r="N21" s="213">
        <v>0.240376485041204</v>
      </c>
      <c r="O21" s="213">
        <v>2.02165171671205</v>
      </c>
      <c r="P21" s="214">
        <v>79.367177599483</v>
      </c>
      <c r="Q21" s="213">
        <v>10.5775809354725</v>
      </c>
      <c r="R21" s="38"/>
      <c r="S21" s="222"/>
      <c r="T21" s="222"/>
    </row>
    <row r="22" spans="1:20">
      <c r="A22" s="191">
        <v>2022</v>
      </c>
      <c r="B22" s="12" t="s">
        <v>378</v>
      </c>
      <c r="C22" s="193">
        <v>6359608.33186506</v>
      </c>
      <c r="D22" s="193">
        <v>170593.671083267</v>
      </c>
      <c r="E22" s="193">
        <v>210778.475944535</v>
      </c>
      <c r="F22" s="193">
        <v>21029.63465825</v>
      </c>
      <c r="G22" s="193">
        <v>18829.8761218</v>
      </c>
      <c r="H22" s="193">
        <v>311006.566140102</v>
      </c>
      <c r="I22" s="215">
        <v>4911916.55795139</v>
      </c>
      <c r="J22" s="193">
        <v>715453.54996572</v>
      </c>
      <c r="K22" s="190">
        <v>2.68245561960948</v>
      </c>
      <c r="L22" s="190">
        <v>3.31433108684416</v>
      </c>
      <c r="M22" s="190">
        <v>0.330674996962945</v>
      </c>
      <c r="N22" s="190">
        <v>0.29608546846277</v>
      </c>
      <c r="O22" s="190">
        <v>4.89034151021206</v>
      </c>
      <c r="P22" s="216">
        <v>77.2361488574704</v>
      </c>
      <c r="Q22" s="190">
        <v>11.2499624604382</v>
      </c>
      <c r="R22" s="38"/>
      <c r="S22" s="222"/>
      <c r="T22" s="222"/>
    </row>
    <row r="23" spans="1:20">
      <c r="A23" s="12"/>
      <c r="B23" s="12" t="s">
        <v>377</v>
      </c>
      <c r="C23" s="193">
        <v>5934146.08026454</v>
      </c>
      <c r="D23" s="193">
        <v>84205.120316067</v>
      </c>
      <c r="E23" s="193">
        <v>186020.538892694</v>
      </c>
      <c r="F23" s="193">
        <v>22469.516396753</v>
      </c>
      <c r="G23" s="193">
        <v>14355.225735025</v>
      </c>
      <c r="H23" s="193">
        <v>131461.269118199</v>
      </c>
      <c r="I23" s="215">
        <v>4658301.22943219</v>
      </c>
      <c r="J23" s="193">
        <v>837333.180373609</v>
      </c>
      <c r="K23" s="190">
        <v>1.41899304764525</v>
      </c>
      <c r="L23" s="190">
        <v>3.13474822453986</v>
      </c>
      <c r="M23" s="190">
        <v>0.378647847438082</v>
      </c>
      <c r="N23" s="190">
        <v>0.241908870136629</v>
      </c>
      <c r="O23" s="190">
        <v>2.21533591084665</v>
      </c>
      <c r="P23" s="216">
        <v>78.4999419701601</v>
      </c>
      <c r="Q23" s="190">
        <v>14.1104241292335</v>
      </c>
      <c r="R23" s="38"/>
      <c r="S23" s="222"/>
      <c r="T23" s="222"/>
    </row>
    <row r="24" spans="1:20">
      <c r="A24" s="12"/>
      <c r="B24" s="12" t="s">
        <v>376</v>
      </c>
      <c r="C24" s="193">
        <v>7400886.82372143</v>
      </c>
      <c r="D24" s="193">
        <v>141766.64821403</v>
      </c>
      <c r="E24" s="193">
        <v>371095.363485623</v>
      </c>
      <c r="F24" s="193">
        <v>20986.458465056</v>
      </c>
      <c r="G24" s="193">
        <v>16053.669826813</v>
      </c>
      <c r="H24" s="193">
        <v>119533.092931622</v>
      </c>
      <c r="I24" s="215">
        <v>5907967.62373551</v>
      </c>
      <c r="J24" s="193">
        <v>823483.96706278</v>
      </c>
      <c r="K24" s="190">
        <v>1.91553595657803</v>
      </c>
      <c r="L24" s="190">
        <v>5.01420130214912</v>
      </c>
      <c r="M24" s="190">
        <v>0.283566807126274</v>
      </c>
      <c r="N24" s="190">
        <v>0.21691548876761</v>
      </c>
      <c r="O24" s="190">
        <v>1.61511850915613</v>
      </c>
      <c r="P24" s="216">
        <v>79.8278336698678</v>
      </c>
      <c r="Q24" s="190">
        <v>11.126828266355</v>
      </c>
      <c r="R24" s="38"/>
      <c r="S24" s="222"/>
      <c r="T24" s="222"/>
    </row>
    <row r="25" spans="1:20">
      <c r="A25" s="12"/>
      <c r="B25" s="12" t="s">
        <v>375</v>
      </c>
      <c r="C25" s="188">
        <v>7102113.62678066</v>
      </c>
      <c r="D25" s="188">
        <v>201586.26698918</v>
      </c>
      <c r="E25" s="188">
        <v>259475.651163846</v>
      </c>
      <c r="F25" s="188">
        <v>19687.678433418</v>
      </c>
      <c r="G25" s="188">
        <v>17018.523859117</v>
      </c>
      <c r="H25" s="188">
        <v>219081.298585651</v>
      </c>
      <c r="I25" s="207">
        <v>5620992.17313027</v>
      </c>
      <c r="J25" s="188">
        <v>764272.03461917</v>
      </c>
      <c r="K25" s="190">
        <v>2.83839822315766</v>
      </c>
      <c r="L25" s="190">
        <v>3.65349901169442</v>
      </c>
      <c r="M25" s="190">
        <v>0.277208722191936</v>
      </c>
      <c r="N25" s="190">
        <v>0.23962618388621</v>
      </c>
      <c r="O25" s="190">
        <v>3.08473378628496</v>
      </c>
      <c r="P25" s="216">
        <v>79.1453427601416</v>
      </c>
      <c r="Q25" s="190">
        <v>10.7611913126432</v>
      </c>
      <c r="R25" s="38"/>
      <c r="S25" s="222"/>
      <c r="T25" s="222"/>
    </row>
    <row r="26" spans="1:20">
      <c r="A26" s="12">
        <v>2021</v>
      </c>
      <c r="B26" s="12" t="s">
        <v>378</v>
      </c>
      <c r="C26" s="194">
        <v>5766618.88589579</v>
      </c>
      <c r="D26" s="13">
        <v>132714.647981897</v>
      </c>
      <c r="E26" s="195">
        <v>248454.429950572</v>
      </c>
      <c r="F26" s="13">
        <v>13561.55317386</v>
      </c>
      <c r="G26" s="195">
        <v>20663.593784814</v>
      </c>
      <c r="H26" s="13">
        <v>395480.863999765</v>
      </c>
      <c r="I26" s="207">
        <v>4269363.18417413</v>
      </c>
      <c r="J26" s="188">
        <v>686380.612830758</v>
      </c>
      <c r="K26" s="217">
        <v>2.30142914952287</v>
      </c>
      <c r="L26" s="217">
        <v>4.30849402165714</v>
      </c>
      <c r="M26" s="217">
        <v>0.235173390893394</v>
      </c>
      <c r="N26" s="217">
        <v>0.35833118494017</v>
      </c>
      <c r="O26" s="217">
        <v>6.85810648883086</v>
      </c>
      <c r="P26" s="218">
        <v>74.0358131628274</v>
      </c>
      <c r="Q26" s="217">
        <v>11.9026526013282</v>
      </c>
      <c r="R26" s="38"/>
      <c r="S26" s="222"/>
      <c r="T26" s="222"/>
    </row>
    <row r="27" spans="1:20">
      <c r="A27" s="12"/>
      <c r="B27" s="12" t="s">
        <v>377</v>
      </c>
      <c r="C27" s="194">
        <v>5136555.14876399</v>
      </c>
      <c r="D27" s="188">
        <v>79414.797547431</v>
      </c>
      <c r="E27" s="190">
        <v>150524.03138788</v>
      </c>
      <c r="F27" s="188">
        <v>18314.041755672</v>
      </c>
      <c r="G27" s="190">
        <v>19281.2785449</v>
      </c>
      <c r="H27" s="188">
        <v>284991.114591</v>
      </c>
      <c r="I27" s="207">
        <v>4026183.4374199</v>
      </c>
      <c r="J27" s="188">
        <v>557846.53104609</v>
      </c>
      <c r="K27" s="190">
        <v>1.5460711556176</v>
      </c>
      <c r="L27" s="190">
        <v>2.93044709982527</v>
      </c>
      <c r="M27" s="190">
        <v>0.356543271224858</v>
      </c>
      <c r="N27" s="190">
        <v>0.375373727848316</v>
      </c>
      <c r="O27" s="190">
        <v>5.54829270468511</v>
      </c>
      <c r="P27" s="216">
        <v>78.3829496776399</v>
      </c>
      <c r="Q27" s="190">
        <v>10.8603239893243</v>
      </c>
      <c r="R27" s="38"/>
      <c r="S27" s="222"/>
      <c r="T27" s="222"/>
    </row>
    <row r="28" spans="1:19">
      <c r="A28" s="12"/>
      <c r="B28" s="12" t="s">
        <v>376</v>
      </c>
      <c r="C28" s="194">
        <v>5019682.72447938</v>
      </c>
      <c r="D28" s="196">
        <v>165460.278694334</v>
      </c>
      <c r="E28" s="197">
        <v>63933.006098247</v>
      </c>
      <c r="F28" s="196">
        <v>14877.08332908</v>
      </c>
      <c r="G28" s="197">
        <v>25181.628495757</v>
      </c>
      <c r="H28" s="188">
        <v>140362.606213</v>
      </c>
      <c r="I28" s="207">
        <v>4072324.46915671</v>
      </c>
      <c r="J28" s="196">
        <v>537543.65249287</v>
      </c>
      <c r="K28" s="188">
        <v>3.29622981722405</v>
      </c>
      <c r="L28" s="188">
        <v>1.27364635590346</v>
      </c>
      <c r="M28" s="188">
        <v>0.296374973193609</v>
      </c>
      <c r="N28" s="188">
        <v>0.50165777157497</v>
      </c>
      <c r="O28" s="188">
        <v>2.79624458192341</v>
      </c>
      <c r="P28" s="219">
        <v>81.1271287983459</v>
      </c>
      <c r="Q28" s="188">
        <v>10.7087177018468</v>
      </c>
      <c r="R28" s="38"/>
      <c r="S28" s="222"/>
    </row>
    <row r="29" spans="1:20">
      <c r="A29" s="129"/>
      <c r="B29" s="12" t="s">
        <v>375</v>
      </c>
      <c r="C29" s="194">
        <v>2984931.95463326</v>
      </c>
      <c r="D29" s="196">
        <v>127305.16717389</v>
      </c>
      <c r="E29" s="197">
        <v>42947.465756805</v>
      </c>
      <c r="F29" s="196">
        <v>9323.17078742</v>
      </c>
      <c r="G29" s="197">
        <v>24568.43911864</v>
      </c>
      <c r="H29" s="188">
        <v>163726.397457</v>
      </c>
      <c r="I29" s="207">
        <v>2042897.99291675</v>
      </c>
      <c r="J29" s="196">
        <v>574163.32142252</v>
      </c>
      <c r="K29" s="188">
        <v>4.26492694335241</v>
      </c>
      <c r="L29" s="188">
        <v>1.43880887100763</v>
      </c>
      <c r="M29" s="188">
        <v>0.312341149785623</v>
      </c>
      <c r="N29" s="188">
        <v>0.823082049843864</v>
      </c>
      <c r="O29" s="188">
        <v>5.48509647608083</v>
      </c>
      <c r="P29" s="219">
        <v>68.4403538829663</v>
      </c>
      <c r="Q29" s="188">
        <v>19.2353906269553</v>
      </c>
      <c r="R29" s="38"/>
      <c r="S29" s="222"/>
      <c r="T29" s="223"/>
    </row>
    <row r="30" spans="1:20">
      <c r="A30" s="12">
        <v>2020</v>
      </c>
      <c r="B30" s="12" t="s">
        <v>378</v>
      </c>
      <c r="C30" s="188">
        <v>3194497.01704885</v>
      </c>
      <c r="D30" s="13">
        <v>55778.78254086</v>
      </c>
      <c r="E30" s="195">
        <v>46891.308183301</v>
      </c>
      <c r="F30" s="188">
        <v>4499.443939176</v>
      </c>
      <c r="G30" s="190">
        <v>5064.06365913</v>
      </c>
      <c r="H30" s="188">
        <v>129049.209264298</v>
      </c>
      <c r="I30" s="73">
        <v>2521346.07111236</v>
      </c>
      <c r="J30" s="13">
        <v>431868.138349728</v>
      </c>
      <c r="K30" s="220">
        <v>1.74608967368483</v>
      </c>
      <c r="L30" s="220">
        <v>1.46787766377757</v>
      </c>
      <c r="M30" s="220">
        <v>0.14084984005816</v>
      </c>
      <c r="N30" s="220">
        <v>0.158524601278492</v>
      </c>
      <c r="O30" s="220">
        <v>4.03973484951057</v>
      </c>
      <c r="P30" s="219">
        <v>78.9277954449817</v>
      </c>
      <c r="Q30" s="220">
        <v>13.5191279267087</v>
      </c>
      <c r="R30" s="38"/>
      <c r="S30" s="222"/>
      <c r="T30" s="222"/>
    </row>
    <row r="31" spans="1:20">
      <c r="A31" s="12"/>
      <c r="B31" s="12" t="s">
        <v>377</v>
      </c>
      <c r="C31" s="188">
        <v>2993464.33470873</v>
      </c>
      <c r="D31" s="13">
        <v>60639.33145745</v>
      </c>
      <c r="E31" s="195">
        <v>11227.74613217</v>
      </c>
      <c r="F31" s="188">
        <v>5674.16743816</v>
      </c>
      <c r="G31" s="190">
        <v>4469.28167497</v>
      </c>
      <c r="H31" s="188">
        <v>133148.72742217</v>
      </c>
      <c r="I31" s="73">
        <v>2424774.04733831</v>
      </c>
      <c r="J31" s="13">
        <v>353531.0332455</v>
      </c>
      <c r="K31" s="220">
        <v>2.02572420036367</v>
      </c>
      <c r="L31" s="220">
        <v>0.375075326670377</v>
      </c>
      <c r="M31" s="220">
        <v>0.189551863784344</v>
      </c>
      <c r="N31" s="220">
        <v>0.149301316977437</v>
      </c>
      <c r="O31" s="220">
        <v>4.44798108593887</v>
      </c>
      <c r="P31" s="219">
        <v>81.0022694850061</v>
      </c>
      <c r="Q31" s="220">
        <v>11.8100967212592</v>
      </c>
      <c r="R31" s="38"/>
      <c r="S31" s="222"/>
      <c r="T31" s="222"/>
    </row>
    <row r="32" spans="1:20">
      <c r="A32" s="12"/>
      <c r="B32" s="12" t="s">
        <v>376</v>
      </c>
      <c r="C32" s="188">
        <v>2224953.15469106</v>
      </c>
      <c r="D32" s="188">
        <v>78032.56135868</v>
      </c>
      <c r="E32" s="195">
        <v>15004.09733604</v>
      </c>
      <c r="F32" s="188">
        <v>1566.38591526</v>
      </c>
      <c r="G32" s="190">
        <v>4303.02494587</v>
      </c>
      <c r="H32" s="188">
        <v>254055.88005626</v>
      </c>
      <c r="I32" s="73">
        <v>1553939.08414662</v>
      </c>
      <c r="J32" s="13">
        <v>318052.12093233</v>
      </c>
      <c r="K32" s="220">
        <v>3.50715524927602</v>
      </c>
      <c r="L32" s="220">
        <v>0.674355651237222</v>
      </c>
      <c r="M32" s="220">
        <v>0.0704008492024857</v>
      </c>
      <c r="N32" s="220">
        <v>0.193398451414474</v>
      </c>
      <c r="O32" s="220">
        <v>11.4184822058214</v>
      </c>
      <c r="P32" s="219">
        <v>69.8414292844916</v>
      </c>
      <c r="Q32" s="220">
        <v>14.2947783085569</v>
      </c>
      <c r="R32" s="38"/>
      <c r="S32" s="222"/>
      <c r="T32" s="222"/>
    </row>
    <row r="33" spans="1:20">
      <c r="A33" s="12"/>
      <c r="B33" s="12" t="s">
        <v>375</v>
      </c>
      <c r="C33" s="188">
        <v>4109769.93739883</v>
      </c>
      <c r="D33" s="188">
        <v>127088.57185791</v>
      </c>
      <c r="E33" s="190">
        <v>45751.73124149</v>
      </c>
      <c r="F33" s="188">
        <v>1602.66382482</v>
      </c>
      <c r="G33" s="190">
        <v>4986.6833458</v>
      </c>
      <c r="H33" s="188">
        <v>444568.8618661</v>
      </c>
      <c r="I33" s="207">
        <v>2944596.78004083</v>
      </c>
      <c r="J33" s="188">
        <v>541174.64522188</v>
      </c>
      <c r="K33" s="220">
        <v>3.0923524623947</v>
      </c>
      <c r="L33" s="220">
        <v>1.11324312402867</v>
      </c>
      <c r="M33" s="220">
        <v>0.0389964365215626</v>
      </c>
      <c r="N33" s="220">
        <v>0.121337287044252</v>
      </c>
      <c r="O33" s="220">
        <v>10.8173661454996</v>
      </c>
      <c r="P33" s="219">
        <v>71.6487011412744</v>
      </c>
      <c r="Q33" s="220">
        <v>13.1680034032368</v>
      </c>
      <c r="R33" s="38"/>
      <c r="S33" s="222"/>
      <c r="T33" s="222"/>
    </row>
    <row r="34" spans="1:20">
      <c r="A34" s="12">
        <v>2020</v>
      </c>
      <c r="B34" s="12" t="s">
        <v>379</v>
      </c>
      <c r="C34" s="188">
        <v>1706683.58619165</v>
      </c>
      <c r="D34" s="188">
        <v>50490.66725893</v>
      </c>
      <c r="E34" s="190">
        <v>23250.8086523</v>
      </c>
      <c r="F34" s="188">
        <v>283.67771235</v>
      </c>
      <c r="G34" s="190">
        <v>1404.879752</v>
      </c>
      <c r="H34" s="188">
        <v>202591.68753966</v>
      </c>
      <c r="I34" s="207">
        <v>1224559.9537474</v>
      </c>
      <c r="J34" s="188">
        <v>204101.91152901</v>
      </c>
      <c r="K34" s="190">
        <v>2.95840820568249</v>
      </c>
      <c r="L34" s="190">
        <v>1.36233856354022</v>
      </c>
      <c r="M34" s="190">
        <v>0.016621576175289</v>
      </c>
      <c r="N34" s="190">
        <v>0.082316356902154</v>
      </c>
      <c r="O34" s="190">
        <v>11.8704890103109</v>
      </c>
      <c r="P34" s="216">
        <v>71.750848467461</v>
      </c>
      <c r="Q34" s="190">
        <v>11.9589778199279</v>
      </c>
      <c r="R34" s="38"/>
      <c r="S34" s="222"/>
      <c r="T34" s="222"/>
    </row>
    <row r="35" spans="1:20">
      <c r="A35" s="32"/>
      <c r="B35" s="12" t="s">
        <v>380</v>
      </c>
      <c r="C35" s="188">
        <v>1438825.13027364</v>
      </c>
      <c r="D35" s="188">
        <v>41715.86252805</v>
      </c>
      <c r="E35" s="190">
        <v>6069.77368294</v>
      </c>
      <c r="F35" s="188">
        <v>518.30246212</v>
      </c>
      <c r="G35" s="190">
        <v>1870.46656712</v>
      </c>
      <c r="H35" s="188">
        <v>169843.49173735</v>
      </c>
      <c r="I35" s="207">
        <v>1057258.59921976</v>
      </c>
      <c r="J35" s="188">
        <v>161548.6340763</v>
      </c>
      <c r="K35" s="190">
        <v>2.89930038406518</v>
      </c>
      <c r="L35" s="190">
        <v>0.421856246129482</v>
      </c>
      <c r="M35" s="190">
        <v>0.036022616731849</v>
      </c>
      <c r="N35" s="190">
        <v>0.129999575887604</v>
      </c>
      <c r="O35" s="190">
        <v>11.8043178537651</v>
      </c>
      <c r="P35" s="216">
        <v>73.4806876092502</v>
      </c>
      <c r="Q35" s="190">
        <v>11.2278157141706</v>
      </c>
      <c r="R35" s="38"/>
      <c r="S35" s="222"/>
      <c r="T35" s="222"/>
    </row>
    <row r="36" spans="1:20">
      <c r="A36" s="32"/>
      <c r="B36" s="12" t="s">
        <v>391</v>
      </c>
      <c r="C36" s="188">
        <v>964261.22093354</v>
      </c>
      <c r="D36" s="188">
        <v>34882.04207093</v>
      </c>
      <c r="E36" s="190">
        <v>16431.14890625</v>
      </c>
      <c r="F36" s="188">
        <v>800.68365035</v>
      </c>
      <c r="G36" s="190">
        <v>1711.33702668</v>
      </c>
      <c r="H36" s="188">
        <v>72133.68258909</v>
      </c>
      <c r="I36" s="207">
        <v>662778.22707367</v>
      </c>
      <c r="J36" s="188">
        <v>175524.09961657</v>
      </c>
      <c r="K36" s="190">
        <v>3.61748884157752</v>
      </c>
      <c r="L36" s="190">
        <v>1.70401428052269</v>
      </c>
      <c r="M36" s="190">
        <v>0.0830359691925416</v>
      </c>
      <c r="N36" s="190">
        <v>0.177476495946107</v>
      </c>
      <c r="O36" s="190">
        <v>7.48072006040588</v>
      </c>
      <c r="P36" s="216">
        <v>68.7343027682901</v>
      </c>
      <c r="Q36" s="190">
        <v>18.2029615840652</v>
      </c>
      <c r="R36" s="38"/>
      <c r="S36" s="222"/>
      <c r="T36" s="222"/>
    </row>
    <row r="37" spans="1:20">
      <c r="A37" s="32"/>
      <c r="B37" s="12" t="s">
        <v>382</v>
      </c>
      <c r="C37" s="188">
        <v>686158.33267918</v>
      </c>
      <c r="D37" s="188">
        <v>15722.77283787</v>
      </c>
      <c r="E37" s="190">
        <v>5062.4070511</v>
      </c>
      <c r="F37" s="188">
        <v>374.961854</v>
      </c>
      <c r="G37" s="190">
        <v>1379.155438</v>
      </c>
      <c r="H37" s="188">
        <v>137076.31031708</v>
      </c>
      <c r="I37" s="207">
        <v>415842.40359942</v>
      </c>
      <c r="J37" s="188">
        <v>110700.32158171</v>
      </c>
      <c r="K37" s="190">
        <v>2.29142052046191</v>
      </c>
      <c r="L37" s="190">
        <v>0.737789925443779</v>
      </c>
      <c r="M37" s="190">
        <v>0.0546465496579952</v>
      </c>
      <c r="N37" s="190">
        <v>0.200996675594529</v>
      </c>
      <c r="O37" s="190">
        <v>19.9773585466565</v>
      </c>
      <c r="P37" s="216">
        <v>60.6044383336012</v>
      </c>
      <c r="Q37" s="190">
        <v>16.133349448584</v>
      </c>
      <c r="R37" s="38"/>
      <c r="S37" s="222"/>
      <c r="T37" s="222"/>
    </row>
    <row r="38" spans="1:20">
      <c r="A38" s="32"/>
      <c r="B38" s="12" t="s">
        <v>383</v>
      </c>
      <c r="C38" s="188">
        <v>752669.547533699</v>
      </c>
      <c r="D38" s="188">
        <v>24718.57457287</v>
      </c>
      <c r="E38" s="190">
        <v>6621.3663021</v>
      </c>
      <c r="F38" s="188">
        <v>252.91088176</v>
      </c>
      <c r="G38" s="190">
        <v>1617.09251493</v>
      </c>
      <c r="H38" s="188">
        <v>81906.74842525</v>
      </c>
      <c r="I38" s="207">
        <v>514825.43651724</v>
      </c>
      <c r="J38" s="188">
        <v>122727.41831955</v>
      </c>
      <c r="K38" s="190">
        <v>3.28412045549953</v>
      </c>
      <c r="L38" s="190">
        <v>0.879717576431315</v>
      </c>
      <c r="M38" s="190">
        <v>0.0336018485919515</v>
      </c>
      <c r="N38" s="190">
        <v>0.214847607456524</v>
      </c>
      <c r="O38" s="190">
        <v>10.8821658447106</v>
      </c>
      <c r="P38" s="216">
        <v>68.3999290530869</v>
      </c>
      <c r="Q38" s="190">
        <v>16.3056176142234</v>
      </c>
      <c r="R38" s="38"/>
      <c r="S38" s="222"/>
      <c r="T38" s="222"/>
    </row>
    <row r="39" spans="1:20">
      <c r="A39" s="32"/>
      <c r="B39" s="12" t="s">
        <v>384</v>
      </c>
      <c r="C39" s="188">
        <v>786125.274478179</v>
      </c>
      <c r="D39" s="188">
        <v>37591.21394794</v>
      </c>
      <c r="E39" s="190">
        <v>3320.32398284</v>
      </c>
      <c r="F39" s="188">
        <v>938.5131795</v>
      </c>
      <c r="G39" s="190">
        <v>1306.77699294</v>
      </c>
      <c r="H39" s="188">
        <v>35072.82131393</v>
      </c>
      <c r="I39" s="207">
        <v>623271.24402996</v>
      </c>
      <c r="J39" s="188">
        <v>84624.38103107</v>
      </c>
      <c r="K39" s="190">
        <v>4.78183505458371</v>
      </c>
      <c r="L39" s="190">
        <v>0.422365759076248</v>
      </c>
      <c r="M39" s="190">
        <v>0.119384684600425</v>
      </c>
      <c r="N39" s="190">
        <v>0.166230120740924</v>
      </c>
      <c r="O39" s="190">
        <v>4.46147992598393</v>
      </c>
      <c r="P39" s="216">
        <v>79.2839594737213</v>
      </c>
      <c r="Q39" s="190">
        <v>10.7647449812936</v>
      </c>
      <c r="R39" s="38"/>
      <c r="S39" s="222"/>
      <c r="T39" s="222"/>
    </row>
    <row r="40" spans="1:20">
      <c r="A40" s="32"/>
      <c r="B40" s="12" t="s">
        <v>385</v>
      </c>
      <c r="C40" s="188">
        <v>1104890.18472799</v>
      </c>
      <c r="D40" s="188">
        <v>24239.36677206</v>
      </c>
      <c r="E40" s="190">
        <v>5497.85055847</v>
      </c>
      <c r="F40" s="188">
        <v>2119.84697152</v>
      </c>
      <c r="G40" s="190">
        <v>1568.53873477</v>
      </c>
      <c r="H40" s="188">
        <v>77062.70342247</v>
      </c>
      <c r="I40" s="207">
        <v>876896.45132825</v>
      </c>
      <c r="J40" s="188">
        <v>117505.42694045</v>
      </c>
      <c r="K40" s="190">
        <v>2.19382587582923</v>
      </c>
      <c r="L40" s="190">
        <v>0.497592487874575</v>
      </c>
      <c r="M40" s="190">
        <v>0.191860422042022</v>
      </c>
      <c r="N40" s="190">
        <v>0.141963315128567</v>
      </c>
      <c r="O40" s="190">
        <v>6.97469345710966</v>
      </c>
      <c r="P40" s="216">
        <v>79.3650322402068</v>
      </c>
      <c r="Q40" s="190">
        <v>10.6350322018091</v>
      </c>
      <c r="R40" s="38"/>
      <c r="S40" s="222"/>
      <c r="T40" s="222"/>
    </row>
    <row r="41" spans="1:20">
      <c r="A41" s="32"/>
      <c r="B41" s="12" t="s">
        <v>386</v>
      </c>
      <c r="C41" s="188">
        <v>992111.02440077</v>
      </c>
      <c r="D41" s="188">
        <v>19502.19443667</v>
      </c>
      <c r="E41" s="190">
        <v>3531.63327559</v>
      </c>
      <c r="F41" s="188">
        <v>2015.67370318</v>
      </c>
      <c r="G41" s="190">
        <v>1472.7886632</v>
      </c>
      <c r="H41" s="188">
        <v>36404.42219498</v>
      </c>
      <c r="I41" s="207">
        <v>806258.58200081</v>
      </c>
      <c r="J41" s="188">
        <v>122925.73012634</v>
      </c>
      <c r="K41" s="190">
        <v>1.96572701613201</v>
      </c>
      <c r="L41" s="190">
        <v>0.355971578657045</v>
      </c>
      <c r="M41" s="190">
        <v>0.203170174870041</v>
      </c>
      <c r="N41" s="190">
        <v>0.148449984626424</v>
      </c>
      <c r="O41" s="190">
        <v>3.66938994725596</v>
      </c>
      <c r="P41" s="216">
        <v>81.266971354117</v>
      </c>
      <c r="Q41" s="190">
        <v>12.3903199443416</v>
      </c>
      <c r="R41" s="38"/>
      <c r="S41" s="222"/>
      <c r="T41" s="222"/>
    </row>
    <row r="42" spans="1:20">
      <c r="A42" s="32"/>
      <c r="B42" s="12" t="s">
        <v>387</v>
      </c>
      <c r="C42" s="188">
        <v>896463.12557997</v>
      </c>
      <c r="D42" s="188">
        <v>16897.77024872</v>
      </c>
      <c r="E42" s="190">
        <v>2198.26229811</v>
      </c>
      <c r="F42" s="188">
        <v>1538.64676346</v>
      </c>
      <c r="G42" s="190">
        <v>1427.954277</v>
      </c>
      <c r="H42" s="188">
        <v>19681.60180472</v>
      </c>
      <c r="I42" s="207">
        <v>741619.01400925</v>
      </c>
      <c r="J42" s="188">
        <v>113099.87617871</v>
      </c>
      <c r="K42" s="190">
        <v>1.88493756927123</v>
      </c>
      <c r="L42" s="190">
        <v>0.245215027298287</v>
      </c>
      <c r="M42" s="190">
        <v>0.171635254095317</v>
      </c>
      <c r="N42" s="190">
        <v>0.159287564234857</v>
      </c>
      <c r="O42" s="190">
        <v>2.19547254573209</v>
      </c>
      <c r="P42" s="216">
        <v>82.727219095538</v>
      </c>
      <c r="Q42" s="190">
        <v>12.6162329438302</v>
      </c>
      <c r="R42" s="38"/>
      <c r="S42" s="222"/>
      <c r="T42" s="222"/>
    </row>
    <row r="43" spans="1:20">
      <c r="A43" s="32"/>
      <c r="B43" s="32" t="s">
        <v>388</v>
      </c>
      <c r="C43" s="188">
        <v>998403.397730406</v>
      </c>
      <c r="D43" s="188">
        <v>10478.83826721</v>
      </c>
      <c r="E43" s="190">
        <v>12399.20314382</v>
      </c>
      <c r="F43" s="188">
        <v>917.955678076</v>
      </c>
      <c r="G43" s="190">
        <v>1604.161261</v>
      </c>
      <c r="H43" s="188">
        <v>12513.57515887</v>
      </c>
      <c r="I43" s="207">
        <v>829069.78068156</v>
      </c>
      <c r="J43" s="188">
        <v>131419.88353987</v>
      </c>
      <c r="K43" s="190">
        <v>1.04955955589001</v>
      </c>
      <c r="L43" s="190">
        <v>1.24190313975355</v>
      </c>
      <c r="M43" s="190">
        <v>0.0919423631933463</v>
      </c>
      <c r="N43" s="190">
        <v>0.160672656427915</v>
      </c>
      <c r="O43" s="190">
        <v>1.25335863112206</v>
      </c>
      <c r="P43" s="216">
        <v>83.0395592168677</v>
      </c>
      <c r="Q43" s="190">
        <v>13.1630044367454</v>
      </c>
      <c r="R43" s="38"/>
      <c r="S43" s="222"/>
      <c r="T43" s="38"/>
    </row>
    <row r="44" spans="1:20">
      <c r="A44" s="32"/>
      <c r="B44" s="32" t="s">
        <v>389</v>
      </c>
      <c r="C44" s="188">
        <v>1025050.16898781</v>
      </c>
      <c r="D44" s="188">
        <v>18491.23157277</v>
      </c>
      <c r="E44" s="190">
        <v>16379.82604102</v>
      </c>
      <c r="F44" s="188">
        <v>1999.0294046</v>
      </c>
      <c r="G44" s="190">
        <v>1704.6290245</v>
      </c>
      <c r="H44" s="188">
        <v>37082.690830558</v>
      </c>
      <c r="I44" s="207">
        <v>812454.212267</v>
      </c>
      <c r="J44" s="188">
        <v>136938.549847358</v>
      </c>
      <c r="K44" s="190">
        <v>1.80393429826262</v>
      </c>
      <c r="L44" s="190">
        <v>1.59795359647561</v>
      </c>
      <c r="M44" s="190">
        <v>0.195017713774337</v>
      </c>
      <c r="N44" s="190">
        <v>0.166297131210978</v>
      </c>
      <c r="O44" s="190">
        <v>3.61764642867925</v>
      </c>
      <c r="P44" s="216">
        <v>79.2599461809039</v>
      </c>
      <c r="Q44" s="190">
        <v>13.3592046506932</v>
      </c>
      <c r="R44" s="38"/>
      <c r="S44" s="222"/>
      <c r="T44" s="38"/>
    </row>
    <row r="45" spans="1:20">
      <c r="A45" s="32"/>
      <c r="B45" s="32" t="s">
        <v>390</v>
      </c>
      <c r="C45" s="188">
        <v>1171043.45033064</v>
      </c>
      <c r="D45" s="188">
        <v>26808.71270088</v>
      </c>
      <c r="E45" s="190">
        <v>18112.278998461</v>
      </c>
      <c r="F45" s="188">
        <v>1582.4588565</v>
      </c>
      <c r="G45" s="190">
        <v>1755.27337363</v>
      </c>
      <c r="H45" s="188">
        <v>79452.94327487</v>
      </c>
      <c r="I45" s="207">
        <v>879822.0781638</v>
      </c>
      <c r="J45" s="188">
        <v>163509.7049625</v>
      </c>
      <c r="K45" s="190">
        <v>2.2893012802651</v>
      </c>
      <c r="L45" s="190">
        <v>1.54667864743593</v>
      </c>
      <c r="M45" s="190">
        <v>0.135132377543566</v>
      </c>
      <c r="N45" s="190">
        <v>0.149889687964559</v>
      </c>
      <c r="O45" s="190">
        <v>6.78479891181123</v>
      </c>
      <c r="P45" s="216">
        <v>75.1314631336168</v>
      </c>
      <c r="Q45" s="190">
        <v>13.9627359613628</v>
      </c>
      <c r="R45" s="38"/>
      <c r="S45" s="222"/>
      <c r="T45" s="38"/>
    </row>
    <row r="46" spans="1:20">
      <c r="A46" s="12">
        <v>2021</v>
      </c>
      <c r="B46" s="32" t="s">
        <v>379</v>
      </c>
      <c r="C46" s="194">
        <v>895199.007440075</v>
      </c>
      <c r="D46" s="188">
        <v>19035.37190948</v>
      </c>
      <c r="E46" s="190">
        <v>13539.078045335</v>
      </c>
      <c r="F46" s="188">
        <v>1760.15630541</v>
      </c>
      <c r="G46" s="190">
        <v>7378.13671236</v>
      </c>
      <c r="H46" s="188">
        <v>66278.162546</v>
      </c>
      <c r="I46" s="207">
        <v>631898.65578822</v>
      </c>
      <c r="J46" s="188">
        <v>155309.44613311</v>
      </c>
      <c r="K46" s="190">
        <v>2.12638438506694</v>
      </c>
      <c r="L46" s="190">
        <v>1.51240985890406</v>
      </c>
      <c r="M46" s="190">
        <v>0.196621789209013</v>
      </c>
      <c r="N46" s="190">
        <v>0.824189554617429</v>
      </c>
      <c r="O46" s="190">
        <v>7.40373503490917</v>
      </c>
      <c r="P46" s="216">
        <v>70.5875063015549</v>
      </c>
      <c r="Q46" s="190">
        <v>17.3491530757206</v>
      </c>
      <c r="R46" s="38"/>
      <c r="S46" s="222"/>
      <c r="T46" s="222"/>
    </row>
    <row r="47" spans="1:20">
      <c r="A47" s="12"/>
      <c r="B47" s="32" t="s">
        <v>380</v>
      </c>
      <c r="C47" s="194">
        <v>984812.72960036</v>
      </c>
      <c r="D47" s="188">
        <v>34892.2704894</v>
      </c>
      <c r="E47" s="190">
        <v>12016.39806147</v>
      </c>
      <c r="F47" s="188">
        <v>2354.81289768</v>
      </c>
      <c r="G47" s="190">
        <v>7503.42349253</v>
      </c>
      <c r="H47" s="188">
        <v>23078.966351</v>
      </c>
      <c r="I47" s="207">
        <v>694808.12026748</v>
      </c>
      <c r="J47" s="188">
        <v>210158.73804035</v>
      </c>
      <c r="K47" s="190">
        <v>3.54303609616819</v>
      </c>
      <c r="L47" s="190">
        <v>1.22017087110016</v>
      </c>
      <c r="M47" s="190">
        <v>0.239112759908738</v>
      </c>
      <c r="N47" s="190">
        <v>0.761913739231916</v>
      </c>
      <c r="O47" s="190">
        <v>2.3434878182744</v>
      </c>
      <c r="P47" s="216">
        <v>70.5523090211715</v>
      </c>
      <c r="Q47" s="190">
        <v>21.3399696940994</v>
      </c>
      <c r="R47" s="38"/>
      <c r="S47" s="222"/>
      <c r="T47" s="222"/>
    </row>
    <row r="48" spans="1:20">
      <c r="A48" s="12"/>
      <c r="B48" s="32" t="s">
        <v>391</v>
      </c>
      <c r="C48" s="194">
        <v>1104920.21759283</v>
      </c>
      <c r="D48" s="188">
        <v>73377.52477501</v>
      </c>
      <c r="E48" s="190">
        <v>17391.98965</v>
      </c>
      <c r="F48" s="188">
        <v>5208.20158433</v>
      </c>
      <c r="G48" s="190">
        <v>9686.87891375</v>
      </c>
      <c r="H48" s="188">
        <v>74369.26856</v>
      </c>
      <c r="I48" s="207">
        <v>716191.21686105</v>
      </c>
      <c r="J48" s="188">
        <v>208695.13724906</v>
      </c>
      <c r="K48" s="190">
        <v>6.64097946681342</v>
      </c>
      <c r="L48" s="190">
        <v>1.57404936330064</v>
      </c>
      <c r="M48" s="190">
        <v>0.471364493237036</v>
      </c>
      <c r="N48" s="190">
        <v>0.87670392481855</v>
      </c>
      <c r="O48" s="190">
        <v>6.73073651616406</v>
      </c>
      <c r="P48" s="216">
        <v>64.8183647522839</v>
      </c>
      <c r="Q48" s="190">
        <v>18.8878014834158</v>
      </c>
      <c r="R48" s="38"/>
      <c r="S48" s="222"/>
      <c r="T48" s="222"/>
    </row>
    <row r="49" spans="1:19">
      <c r="A49" s="12"/>
      <c r="B49" s="32" t="s">
        <v>382</v>
      </c>
      <c r="C49" s="194">
        <v>1651887.73503464</v>
      </c>
      <c r="D49" s="188">
        <v>69369.22463879</v>
      </c>
      <c r="E49" s="190">
        <v>17079.804436595</v>
      </c>
      <c r="F49" s="188">
        <v>4305.92265502</v>
      </c>
      <c r="G49" s="190">
        <v>9361.40905498</v>
      </c>
      <c r="H49" s="188">
        <v>35859.87006</v>
      </c>
      <c r="I49" s="207">
        <v>1341688.5626138</v>
      </c>
      <c r="J49" s="188">
        <v>174222.9415758</v>
      </c>
      <c r="K49" s="190">
        <v>4.19939098569162</v>
      </c>
      <c r="L49" s="190">
        <v>1.03395673170471</v>
      </c>
      <c r="M49" s="190">
        <v>0.26066678526006</v>
      </c>
      <c r="N49" s="190">
        <v>0.566709762197231</v>
      </c>
      <c r="O49" s="190">
        <v>2.17084183745986</v>
      </c>
      <c r="P49" s="216">
        <v>81.221534257936</v>
      </c>
      <c r="Q49" s="190">
        <v>10.5468996397716</v>
      </c>
      <c r="R49" s="38"/>
      <c r="S49" s="222"/>
    </row>
    <row r="50" spans="1:19">
      <c r="A50" s="12"/>
      <c r="B50" s="32" t="s">
        <v>383</v>
      </c>
      <c r="C50" s="194">
        <v>1575938.35339888</v>
      </c>
      <c r="D50" s="188">
        <v>49073.006628585</v>
      </c>
      <c r="E50" s="190">
        <v>10778.524928202</v>
      </c>
      <c r="F50" s="188">
        <v>6316.7216058</v>
      </c>
      <c r="G50" s="190">
        <v>8841.973502827</v>
      </c>
      <c r="H50" s="188">
        <v>65931.0628</v>
      </c>
      <c r="I50" s="207">
        <v>1307029.46048911</v>
      </c>
      <c r="J50" s="188">
        <v>127967.60344447</v>
      </c>
      <c r="K50" s="190">
        <v>3.1138912586744</v>
      </c>
      <c r="L50" s="190">
        <v>0.683943309391233</v>
      </c>
      <c r="M50" s="190">
        <v>0.400822887023247</v>
      </c>
      <c r="N50" s="190">
        <v>0.561060874225012</v>
      </c>
      <c r="O50" s="190">
        <v>4.1836067164559</v>
      </c>
      <c r="P50" s="216">
        <v>82.936585537765</v>
      </c>
      <c r="Q50" s="190">
        <v>8.12008941647229</v>
      </c>
      <c r="R50" s="38"/>
      <c r="S50" s="222"/>
    </row>
    <row r="51" spans="1:19">
      <c r="A51" s="12"/>
      <c r="B51" s="32" t="s">
        <v>384</v>
      </c>
      <c r="C51" s="194">
        <v>1791856.63604587</v>
      </c>
      <c r="D51" s="188">
        <v>47018.047426959</v>
      </c>
      <c r="E51" s="190">
        <v>36074.67673345</v>
      </c>
      <c r="F51" s="188">
        <v>4254.43906826</v>
      </c>
      <c r="G51" s="190">
        <v>6978.24593795</v>
      </c>
      <c r="H51" s="188">
        <v>38571.673353</v>
      </c>
      <c r="I51" s="207">
        <v>1423606.4460538</v>
      </c>
      <c r="J51" s="188">
        <v>235353.1074726</v>
      </c>
      <c r="K51" s="190">
        <v>2.62398489260362</v>
      </c>
      <c r="L51" s="190">
        <v>2.01325686484924</v>
      </c>
      <c r="M51" s="190">
        <v>0.237431889509217</v>
      </c>
      <c r="N51" s="190">
        <v>0.389442201880004</v>
      </c>
      <c r="O51" s="190">
        <v>2.1526093425709</v>
      </c>
      <c r="P51" s="216">
        <v>79.4486800682507</v>
      </c>
      <c r="Q51" s="190">
        <v>13.1345947403448</v>
      </c>
      <c r="R51" s="38"/>
      <c r="S51" s="222"/>
    </row>
    <row r="52" spans="1:17">
      <c r="A52" s="12"/>
      <c r="B52" s="32" t="s">
        <v>385</v>
      </c>
      <c r="C52" s="198">
        <v>1677197.80355297</v>
      </c>
      <c r="D52" s="188">
        <v>26026.59373472</v>
      </c>
      <c r="E52" s="190">
        <v>17413.758428602</v>
      </c>
      <c r="F52" s="188">
        <v>2982.36326175</v>
      </c>
      <c r="G52" s="190">
        <v>7498.1910453</v>
      </c>
      <c r="H52" s="188">
        <v>31365.965237</v>
      </c>
      <c r="I52" s="207">
        <v>1444686.8938993</v>
      </c>
      <c r="J52" s="188">
        <v>147224.03794653</v>
      </c>
      <c r="K52" s="190">
        <v>1.55179035410047</v>
      </c>
      <c r="L52" s="190">
        <v>1.03826503896635</v>
      </c>
      <c r="M52" s="190">
        <v>0.177818218902515</v>
      </c>
      <c r="N52" s="190">
        <v>0.447066591037494</v>
      </c>
      <c r="O52" s="190">
        <v>1.87014108714872</v>
      </c>
      <c r="P52" s="216">
        <v>86.1369416796802</v>
      </c>
      <c r="Q52" s="190">
        <v>8.77797703017801</v>
      </c>
    </row>
    <row r="53" spans="1:17">
      <c r="A53" s="12"/>
      <c r="B53" s="32" t="s">
        <v>386</v>
      </c>
      <c r="C53" s="198">
        <v>1421104.60682859</v>
      </c>
      <c r="D53" s="188">
        <v>30473.366846426</v>
      </c>
      <c r="E53" s="190">
        <v>59997.201078336</v>
      </c>
      <c r="F53" s="188">
        <v>5296.46024612</v>
      </c>
      <c r="G53" s="190">
        <v>6359.7843441</v>
      </c>
      <c r="H53" s="188">
        <v>41846.149354</v>
      </c>
      <c r="I53" s="207">
        <v>1073795.1695626</v>
      </c>
      <c r="J53" s="188">
        <v>203336.47539688</v>
      </c>
      <c r="K53" s="190">
        <v>2.1443436816683</v>
      </c>
      <c r="L53" s="190">
        <v>4.22187084540025</v>
      </c>
      <c r="M53" s="190">
        <v>0.372700237594744</v>
      </c>
      <c r="N53" s="190">
        <v>0.447524011500661</v>
      </c>
      <c r="O53" s="190">
        <v>2.94462132857243</v>
      </c>
      <c r="P53" s="216">
        <v>75.5606001418107</v>
      </c>
      <c r="Q53" s="190">
        <v>14.3083397534441</v>
      </c>
    </row>
    <row r="54" spans="1:17">
      <c r="A54" s="12"/>
      <c r="B54" s="32" t="s">
        <v>387</v>
      </c>
      <c r="C54" s="198">
        <v>2038252.73838243</v>
      </c>
      <c r="D54" s="188">
        <v>22914.836966285</v>
      </c>
      <c r="E54" s="190">
        <v>73113.071880942</v>
      </c>
      <c r="F54" s="188">
        <v>10035.218247802</v>
      </c>
      <c r="G54" s="190">
        <v>5423.3031555</v>
      </c>
      <c r="H54" s="188">
        <v>211779</v>
      </c>
      <c r="I54" s="207">
        <v>1507701.373958</v>
      </c>
      <c r="J54" s="188">
        <v>207286.01770268</v>
      </c>
      <c r="K54" s="190">
        <v>1.12423923367179</v>
      </c>
      <c r="L54" s="190">
        <v>3.5870464199138</v>
      </c>
      <c r="M54" s="190">
        <v>0.492344156287802</v>
      </c>
      <c r="N54" s="190">
        <v>0.266076088277647</v>
      </c>
      <c r="O54" s="190">
        <v>10.3902227634473</v>
      </c>
      <c r="P54" s="216">
        <v>73.9702857043392</v>
      </c>
      <c r="Q54" s="190">
        <v>10.1697897321204</v>
      </c>
    </row>
    <row r="55" spans="1:17">
      <c r="A55" s="129"/>
      <c r="B55" s="32" t="s">
        <v>388</v>
      </c>
      <c r="C55" s="198">
        <v>1977179.35352142</v>
      </c>
      <c r="D55" s="188">
        <v>31831.055360599</v>
      </c>
      <c r="E55" s="188">
        <v>31691.445673403</v>
      </c>
      <c r="F55" s="188">
        <v>5870.90162277</v>
      </c>
      <c r="G55" s="188">
        <v>6167.7901449</v>
      </c>
      <c r="H55" s="199">
        <v>184555</v>
      </c>
      <c r="I55" s="207">
        <v>1487004.6683012</v>
      </c>
      <c r="J55" s="188">
        <v>230058.79605071</v>
      </c>
      <c r="K55" s="190">
        <v>1.609922504193</v>
      </c>
      <c r="L55" s="190">
        <v>1.60286145093309</v>
      </c>
      <c r="M55" s="190">
        <v>0.29693318475705</v>
      </c>
      <c r="N55" s="190">
        <v>0.311948945547857</v>
      </c>
      <c r="O55" s="190">
        <v>9.334256888294</v>
      </c>
      <c r="P55" s="216">
        <v>75.2083854028112</v>
      </c>
      <c r="Q55" s="190">
        <v>11.6357069802984</v>
      </c>
    </row>
    <row r="56" spans="1:17">
      <c r="A56" s="129"/>
      <c r="B56" s="32" t="s">
        <v>389</v>
      </c>
      <c r="C56" s="198">
        <v>2065113.0296665</v>
      </c>
      <c r="D56" s="188">
        <v>46501.891064705</v>
      </c>
      <c r="E56" s="188">
        <v>129338.903376638</v>
      </c>
      <c r="F56" s="188">
        <v>3825.978305548</v>
      </c>
      <c r="G56" s="188">
        <v>7583.327992614</v>
      </c>
      <c r="H56" s="199">
        <v>181120</v>
      </c>
      <c r="I56" s="207">
        <v>1511558.57548653</v>
      </c>
      <c r="J56" s="188">
        <v>185184.003974632</v>
      </c>
      <c r="K56" s="190">
        <v>2.25178430413635</v>
      </c>
      <c r="L56" s="190">
        <v>6.26304233805184</v>
      </c>
      <c r="M56" s="190">
        <v>0.185267259011283</v>
      </c>
      <c r="N56" s="190">
        <v>0.367211280141826</v>
      </c>
      <c r="O56" s="190">
        <v>8.77046425053303</v>
      </c>
      <c r="P56" s="216">
        <v>73.1949561003271</v>
      </c>
      <c r="Q56" s="190">
        <v>8.96725754543991</v>
      </c>
    </row>
    <row r="57" spans="1:17">
      <c r="A57" s="129"/>
      <c r="B57" s="32" t="s">
        <v>390</v>
      </c>
      <c r="C57" s="198">
        <v>1724326.50270787</v>
      </c>
      <c r="D57" s="188">
        <v>54381.701556593</v>
      </c>
      <c r="E57" s="188">
        <v>87424.080900532</v>
      </c>
      <c r="F57" s="188">
        <v>3864.673245542</v>
      </c>
      <c r="G57" s="188">
        <v>6912.4756473</v>
      </c>
      <c r="H57" s="199">
        <v>29805.818166</v>
      </c>
      <c r="I57" s="207">
        <v>1270799.9403864</v>
      </c>
      <c r="J57" s="188">
        <v>271137.812805416</v>
      </c>
      <c r="K57" s="190">
        <v>3.15379375490618</v>
      </c>
      <c r="L57" s="190">
        <v>5.07004217375547</v>
      </c>
      <c r="M57" s="190">
        <v>0.224126535170279</v>
      </c>
      <c r="N57" s="190">
        <v>0.400879742696333</v>
      </c>
      <c r="O57" s="190">
        <v>1.72854839957474</v>
      </c>
      <c r="P57" s="216">
        <v>73.6983360396504</v>
      </c>
      <c r="Q57" s="190">
        <v>15.7242733542414</v>
      </c>
    </row>
    <row r="58" spans="1:17">
      <c r="A58" s="200">
        <v>2022</v>
      </c>
      <c r="B58" s="32" t="s">
        <v>379</v>
      </c>
      <c r="C58" s="198">
        <v>2197925.26780018</v>
      </c>
      <c r="D58" s="188">
        <v>69323.612553064</v>
      </c>
      <c r="E58" s="188">
        <v>80471.547250578</v>
      </c>
      <c r="F58" s="188">
        <v>4287.29416477</v>
      </c>
      <c r="G58" s="188">
        <v>5350.058498365</v>
      </c>
      <c r="H58" s="198">
        <v>33780.330634441</v>
      </c>
      <c r="I58" s="207">
        <v>1739430.01126123</v>
      </c>
      <c r="J58" s="188">
        <v>265282.41343773</v>
      </c>
      <c r="K58" s="190">
        <v>3.15404775442831</v>
      </c>
      <c r="L58" s="190">
        <v>3.66125038141623</v>
      </c>
      <c r="M58" s="190">
        <v>0.195060961697801</v>
      </c>
      <c r="N58" s="190">
        <v>0.243414031256834</v>
      </c>
      <c r="O58" s="190">
        <v>1.53691898124682</v>
      </c>
      <c r="P58" s="216">
        <v>79.1396339422478</v>
      </c>
      <c r="Q58" s="190">
        <v>12.0696739477062</v>
      </c>
    </row>
    <row r="59" spans="1:17">
      <c r="A59" s="129"/>
      <c r="B59" s="32" t="s">
        <v>380</v>
      </c>
      <c r="C59" s="198">
        <v>2093794.55085429</v>
      </c>
      <c r="D59" s="188">
        <v>62355.927200096</v>
      </c>
      <c r="E59" s="188">
        <v>56156.664902098</v>
      </c>
      <c r="F59" s="188">
        <v>4502.329362116</v>
      </c>
      <c r="G59" s="188">
        <v>5595.004930078</v>
      </c>
      <c r="H59" s="198">
        <v>46079.017920787</v>
      </c>
      <c r="I59" s="207">
        <v>1671939.1600122</v>
      </c>
      <c r="J59" s="188">
        <v>247166.44652691</v>
      </c>
      <c r="K59" s="190">
        <v>2.97813016920186</v>
      </c>
      <c r="L59" s="190">
        <v>2.68205229969605</v>
      </c>
      <c r="M59" s="190">
        <v>0.215032050794048</v>
      </c>
      <c r="N59" s="190">
        <v>0.267218430184336</v>
      </c>
      <c r="O59" s="190">
        <v>2.2007420881856</v>
      </c>
      <c r="P59" s="216">
        <v>79.8521115326256</v>
      </c>
      <c r="Q59" s="190">
        <v>11.8047134293125</v>
      </c>
    </row>
    <row r="60" spans="1:17">
      <c r="A60" s="129"/>
      <c r="B60" s="32" t="s">
        <v>391</v>
      </c>
      <c r="C60" s="198">
        <v>2810393.80812619</v>
      </c>
      <c r="D60" s="188">
        <v>69906.72723602</v>
      </c>
      <c r="E60" s="188">
        <v>122847.43901117</v>
      </c>
      <c r="F60" s="188">
        <v>10898.054906532</v>
      </c>
      <c r="G60" s="188">
        <v>6073.460430674</v>
      </c>
      <c r="H60" s="198">
        <v>139221.950030423</v>
      </c>
      <c r="I60" s="207">
        <v>2209623.00185684</v>
      </c>
      <c r="J60" s="188">
        <v>251823.17465453</v>
      </c>
      <c r="K60" s="190">
        <v>2.48743528518624</v>
      </c>
      <c r="L60" s="190">
        <v>4.37118238219709</v>
      </c>
      <c r="M60" s="190">
        <v>0.387776790392169</v>
      </c>
      <c r="N60" s="190">
        <v>0.216107095493618</v>
      </c>
      <c r="O60" s="190">
        <v>4.9538235398849</v>
      </c>
      <c r="P60" s="216">
        <v>78.6232518541624</v>
      </c>
      <c r="Q60" s="190">
        <v>8.96042305268354</v>
      </c>
    </row>
    <row r="61" spans="1:17">
      <c r="A61" s="200"/>
      <c r="B61" s="32" t="s">
        <v>382</v>
      </c>
      <c r="C61" s="198">
        <v>2262107.36444011</v>
      </c>
      <c r="D61" s="188">
        <v>54881.302241312</v>
      </c>
      <c r="E61" s="188">
        <v>118623.839275428</v>
      </c>
      <c r="F61" s="188">
        <v>6468.561998318</v>
      </c>
      <c r="G61" s="188">
        <v>5630.549741437</v>
      </c>
      <c r="H61" s="198">
        <v>32072.731019899</v>
      </c>
      <c r="I61" s="207">
        <v>1743208.86504189</v>
      </c>
      <c r="J61" s="188">
        <v>301221.51512183</v>
      </c>
      <c r="K61" s="190">
        <v>2.42611394596187</v>
      </c>
      <c r="L61" s="190">
        <v>5.24395265848879</v>
      </c>
      <c r="M61" s="190">
        <v>0.285952917178138</v>
      </c>
      <c r="N61" s="190">
        <v>0.248907272481764</v>
      </c>
      <c r="O61" s="190">
        <v>1.41782532182495</v>
      </c>
      <c r="P61" s="216">
        <v>77.0612788961653</v>
      </c>
      <c r="Q61" s="190">
        <v>13.3159689878992</v>
      </c>
    </row>
    <row r="62" spans="1:17">
      <c r="A62" s="129"/>
      <c r="B62" s="32" t="s">
        <v>383</v>
      </c>
      <c r="C62" s="198">
        <v>2632300.33099019</v>
      </c>
      <c r="D62" s="188">
        <v>50339.124386687</v>
      </c>
      <c r="E62" s="188">
        <v>131148.963697204</v>
      </c>
      <c r="F62" s="188">
        <v>5865.410414966</v>
      </c>
      <c r="G62" s="188">
        <v>5680.13517341</v>
      </c>
      <c r="H62" s="198">
        <v>44256.840941177</v>
      </c>
      <c r="I62" s="207">
        <v>2180188.33608912</v>
      </c>
      <c r="J62" s="188">
        <v>214821.52028763</v>
      </c>
      <c r="K62" s="190">
        <v>1.9123624988396</v>
      </c>
      <c r="L62" s="190">
        <v>4.98229484505173</v>
      </c>
      <c r="M62" s="190">
        <v>0.222824513825883</v>
      </c>
      <c r="N62" s="190">
        <v>0.215785984089183</v>
      </c>
      <c r="O62" s="190">
        <v>1.68129906835247</v>
      </c>
      <c r="P62" s="216">
        <v>82.8244524540631</v>
      </c>
      <c r="Q62" s="190">
        <v>8.16098063577801</v>
      </c>
    </row>
    <row r="63" spans="1:17">
      <c r="A63" s="129"/>
      <c r="B63" s="32" t="s">
        <v>384</v>
      </c>
      <c r="C63" s="198">
        <v>2506479.12829113</v>
      </c>
      <c r="D63" s="188">
        <v>36546.221586031</v>
      </c>
      <c r="E63" s="188">
        <v>121322.560512991</v>
      </c>
      <c r="F63" s="188">
        <v>8652.486051772</v>
      </c>
      <c r="G63" s="188">
        <v>4742.984911966</v>
      </c>
      <c r="H63" s="198">
        <v>43203.520970546</v>
      </c>
      <c r="I63" s="207">
        <v>1984570.4226045</v>
      </c>
      <c r="J63" s="188">
        <v>307440.93165332</v>
      </c>
      <c r="K63" s="190">
        <v>1.45807005426563</v>
      </c>
      <c r="L63" s="190">
        <v>4.84035790059447</v>
      </c>
      <c r="M63" s="190">
        <v>0.345204791618238</v>
      </c>
      <c r="N63" s="190">
        <v>0.189228980941073</v>
      </c>
      <c r="O63" s="190">
        <v>1.72367367766599</v>
      </c>
      <c r="P63" s="216">
        <v>79.1776161311004</v>
      </c>
      <c r="Q63" s="190">
        <v>12.2658484638142</v>
      </c>
    </row>
    <row r="64" spans="1:17">
      <c r="A64" s="129"/>
      <c r="B64" s="32" t="s">
        <v>385</v>
      </c>
      <c r="C64" s="198">
        <v>2177754.73189187</v>
      </c>
      <c r="D64" s="198">
        <v>33038.344932409</v>
      </c>
      <c r="E64" s="201">
        <v>55373.825467264</v>
      </c>
      <c r="F64" s="202">
        <v>6729.843570229</v>
      </c>
      <c r="G64" s="201">
        <v>4746.648304095</v>
      </c>
      <c r="H64" s="198">
        <v>33757.513331849</v>
      </c>
      <c r="I64" s="207">
        <v>1718187.2716549</v>
      </c>
      <c r="J64" s="188">
        <v>325921.28463112</v>
      </c>
      <c r="K64" s="190">
        <v>1.51708291335948</v>
      </c>
      <c r="L64" s="190">
        <v>2.54270256683862</v>
      </c>
      <c r="M64" s="190">
        <v>0.309026699456767</v>
      </c>
      <c r="N64" s="190">
        <v>0.217960647017925</v>
      </c>
      <c r="O64" s="190">
        <v>1.55010630157249</v>
      </c>
      <c r="P64" s="216">
        <v>78.8971892239798</v>
      </c>
      <c r="Q64" s="190">
        <v>14.9659316477749</v>
      </c>
    </row>
    <row r="65" spans="1:17">
      <c r="A65" s="129"/>
      <c r="B65" s="32" t="s">
        <v>386</v>
      </c>
      <c r="C65" s="198">
        <v>1957365.67759307</v>
      </c>
      <c r="D65" s="198">
        <v>24946.215992454</v>
      </c>
      <c r="E65" s="201">
        <v>73893.700974216</v>
      </c>
      <c r="F65" s="202">
        <v>9424.963700522</v>
      </c>
      <c r="G65" s="201">
        <v>4742.326965926</v>
      </c>
      <c r="H65" s="198">
        <v>53490.487164133</v>
      </c>
      <c r="I65" s="207">
        <v>1536472.3187595</v>
      </c>
      <c r="J65" s="188">
        <v>254395.664036316</v>
      </c>
      <c r="K65" s="190">
        <v>1.27447907552614</v>
      </c>
      <c r="L65" s="190">
        <v>3.77516075918331</v>
      </c>
      <c r="M65" s="190">
        <v>0.481512668195536</v>
      </c>
      <c r="N65" s="190">
        <v>0.242281093421314</v>
      </c>
      <c r="O65" s="190">
        <v>2.73277945845608</v>
      </c>
      <c r="P65" s="216">
        <v>78.4969480331784</v>
      </c>
      <c r="Q65" s="190">
        <v>12.9968389120392</v>
      </c>
    </row>
    <row r="66" spans="1:17">
      <c r="A66" s="129"/>
      <c r="B66" s="32" t="s">
        <v>387</v>
      </c>
      <c r="C66" s="224">
        <v>1799025.6707796</v>
      </c>
      <c r="D66" s="224">
        <v>26220.559391204</v>
      </c>
      <c r="E66" s="225">
        <v>56753.012451214</v>
      </c>
      <c r="F66" s="226">
        <v>6314.709126002</v>
      </c>
      <c r="G66" s="225">
        <v>4866.250465004</v>
      </c>
      <c r="H66" s="224">
        <v>44213.268622217</v>
      </c>
      <c r="I66" s="249">
        <v>1403641.63901779</v>
      </c>
      <c r="J66" s="250">
        <v>257016.231706173</v>
      </c>
      <c r="K66" s="190">
        <v>1.45748667276334</v>
      </c>
      <c r="L66" s="190">
        <v>3.15465273080957</v>
      </c>
      <c r="M66" s="190">
        <v>0.351007171746779</v>
      </c>
      <c r="N66" s="190">
        <v>0.270493664656559</v>
      </c>
      <c r="O66" s="190">
        <v>2.45762299784512</v>
      </c>
      <c r="P66" s="216">
        <v>78.0223240733149</v>
      </c>
      <c r="Q66" s="190">
        <v>14.2864126888637</v>
      </c>
    </row>
    <row r="67" spans="1:17">
      <c r="A67" s="129"/>
      <c r="B67" s="32" t="s">
        <v>388</v>
      </c>
      <c r="C67" s="198">
        <v>2081244.63200076</v>
      </c>
      <c r="D67" s="198">
        <v>30672.85853021</v>
      </c>
      <c r="E67" s="201">
        <v>71299.12153606</v>
      </c>
      <c r="F67" s="202">
        <v>6189.92560056</v>
      </c>
      <c r="G67" s="201">
        <v>5277.598778</v>
      </c>
      <c r="H67" s="198">
        <v>80583.41214519</v>
      </c>
      <c r="I67" s="207">
        <v>1660199.5415539</v>
      </c>
      <c r="J67" s="188">
        <v>227022.17385684</v>
      </c>
      <c r="K67" s="190">
        <v>1.47377478161821</v>
      </c>
      <c r="L67" s="190">
        <v>3.42579245321671</v>
      </c>
      <c r="M67" s="190">
        <v>0.297414609766919</v>
      </c>
      <c r="N67" s="190">
        <v>0.253578973699334</v>
      </c>
      <c r="O67" s="190">
        <v>3.8718856450682</v>
      </c>
      <c r="P67" s="216">
        <v>79.7695530850644</v>
      </c>
      <c r="Q67" s="190">
        <v>10.9080004515662</v>
      </c>
    </row>
    <row r="68" spans="1:17">
      <c r="A68" s="129"/>
      <c r="B68" s="32" t="s">
        <v>389</v>
      </c>
      <c r="C68" s="198">
        <v>1925285.29989303</v>
      </c>
      <c r="D68" s="198">
        <v>62631.55653704</v>
      </c>
      <c r="E68" s="201">
        <v>50200.99923389</v>
      </c>
      <c r="F68" s="202">
        <v>7406.00674903</v>
      </c>
      <c r="G68" s="201">
        <v>5968.3119388</v>
      </c>
      <c r="H68" s="198">
        <v>55322.33535865</v>
      </c>
      <c r="I68" s="207">
        <v>1534807.1003189</v>
      </c>
      <c r="J68" s="188">
        <v>208948.98975672</v>
      </c>
      <c r="K68" s="190">
        <v>3.25310521721222</v>
      </c>
      <c r="L68" s="190">
        <v>2.60745767064649</v>
      </c>
      <c r="M68" s="190">
        <v>0.384670612165453</v>
      </c>
      <c r="N68" s="190">
        <v>0.309996234798635</v>
      </c>
      <c r="O68" s="190">
        <v>2.87346168184652</v>
      </c>
      <c r="P68" s="216">
        <v>79.7184240904023</v>
      </c>
      <c r="Q68" s="190">
        <v>10.8528844929284</v>
      </c>
    </row>
    <row r="69" spans="1:17">
      <c r="A69" s="227"/>
      <c r="B69" s="32" t="s">
        <v>390</v>
      </c>
      <c r="C69" s="224">
        <v>2353078.39997127</v>
      </c>
      <c r="D69" s="224">
        <v>77289.256016017</v>
      </c>
      <c r="E69" s="225">
        <v>89278.355174585</v>
      </c>
      <c r="F69" s="226">
        <v>7433.70230866</v>
      </c>
      <c r="G69" s="225">
        <v>7583.965405</v>
      </c>
      <c r="H69" s="224">
        <v>175100.818636262</v>
      </c>
      <c r="I69" s="249">
        <v>1716909.91607859</v>
      </c>
      <c r="J69" s="250">
        <v>279482.38635216</v>
      </c>
      <c r="K69" s="251">
        <v>3.28460182274252</v>
      </c>
      <c r="L69" s="251">
        <v>3.79410882253966</v>
      </c>
      <c r="M69" s="251">
        <v>0.315913924021858</v>
      </c>
      <c r="N69" s="251">
        <v>0.322299733195995</v>
      </c>
      <c r="O69" s="251">
        <v>7.4413508125526</v>
      </c>
      <c r="P69" s="252">
        <v>72.9644161494811</v>
      </c>
      <c r="Q69" s="251">
        <v>11.8773087354664</v>
      </c>
    </row>
    <row r="70" spans="1:17">
      <c r="A70" s="184">
        <v>2023</v>
      </c>
      <c r="B70" s="228" t="s">
        <v>379</v>
      </c>
      <c r="C70" s="229">
        <v>2286075.5542705</v>
      </c>
      <c r="D70" s="229">
        <v>109434.697502146</v>
      </c>
      <c r="E70" s="229">
        <v>91211.254408684</v>
      </c>
      <c r="F70" s="229">
        <v>5135.48467762</v>
      </c>
      <c r="G70" s="229">
        <v>6959.36338408</v>
      </c>
      <c r="H70" s="229">
        <v>36570.851198936</v>
      </c>
      <c r="I70" s="253">
        <v>1797906.24053764</v>
      </c>
      <c r="J70" s="228">
        <v>238857.66256139</v>
      </c>
      <c r="K70" s="229">
        <v>4.78701140466319</v>
      </c>
      <c r="L70" s="229">
        <v>3.98986176280557</v>
      </c>
      <c r="M70" s="229">
        <v>0.224641948864143</v>
      </c>
      <c r="N70" s="229">
        <v>0.304424032315099</v>
      </c>
      <c r="O70" s="229">
        <v>1.59972189591984</v>
      </c>
      <c r="P70" s="254">
        <v>78.6459676356307</v>
      </c>
      <c r="Q70" s="229">
        <v>10.4483713198014</v>
      </c>
    </row>
    <row r="71" spans="1:17">
      <c r="A71" s="129"/>
      <c r="B71" s="228" t="s">
        <v>380</v>
      </c>
      <c r="C71" s="229">
        <v>1916083.94838728</v>
      </c>
      <c r="D71" s="229">
        <v>84974.512551265</v>
      </c>
      <c r="E71" s="229">
        <v>58372.15839216</v>
      </c>
      <c r="F71" s="229">
        <v>10708.42963463</v>
      </c>
      <c r="G71" s="229">
        <v>6993.16858314</v>
      </c>
      <c r="H71" s="229">
        <v>37549.980989708</v>
      </c>
      <c r="I71" s="253">
        <v>1520811.52152861</v>
      </c>
      <c r="J71" s="228">
        <v>196674.17670777</v>
      </c>
      <c r="K71" s="229">
        <v>4.43480112772647</v>
      </c>
      <c r="L71" s="229">
        <v>3.04643011290243</v>
      </c>
      <c r="M71" s="229">
        <v>0.55887058829771</v>
      </c>
      <c r="N71" s="229">
        <v>0.36497193085021</v>
      </c>
      <c r="O71" s="229">
        <v>1.95972525219017</v>
      </c>
      <c r="P71" s="254">
        <v>79.3708189460403</v>
      </c>
      <c r="Q71" s="229">
        <v>10.2643820419928</v>
      </c>
    </row>
    <row r="72" spans="1:17">
      <c r="A72" s="129"/>
      <c r="B72" s="228" t="s">
        <v>391</v>
      </c>
      <c r="C72" s="229">
        <v>2284879.37909767</v>
      </c>
      <c r="D72" s="229">
        <v>85230.499360477</v>
      </c>
      <c r="E72" s="229">
        <v>50304.76875733</v>
      </c>
      <c r="F72" s="229">
        <v>10176.96924352</v>
      </c>
      <c r="G72" s="229">
        <v>1640.78408</v>
      </c>
      <c r="H72" s="229">
        <v>57024.500728143</v>
      </c>
      <c r="I72" s="253">
        <v>1829861.90816411</v>
      </c>
      <c r="J72" s="228">
        <v>250639.94876409</v>
      </c>
      <c r="K72" s="229">
        <v>3.73019688217133</v>
      </c>
      <c r="L72" s="229">
        <v>2.20163782900418</v>
      </c>
      <c r="M72" s="229">
        <v>0.445405098256829</v>
      </c>
      <c r="N72" s="229">
        <v>0.0718105338518119</v>
      </c>
      <c r="O72" s="229">
        <v>2.49573352754677</v>
      </c>
      <c r="P72" s="254">
        <v>80.0857115217499</v>
      </c>
      <c r="Q72" s="229">
        <v>10.9695046074192</v>
      </c>
    </row>
    <row r="73" spans="1:20">
      <c r="A73" s="129"/>
      <c r="B73" s="228" t="s">
        <v>382</v>
      </c>
      <c r="C73" s="229">
        <v>1786236.2049599</v>
      </c>
      <c r="D73" s="229">
        <v>87655.46859242</v>
      </c>
      <c r="E73" s="229">
        <v>34729.59890358</v>
      </c>
      <c r="F73" s="229">
        <v>7063.59605628</v>
      </c>
      <c r="G73" s="229">
        <v>8042.282317</v>
      </c>
      <c r="H73" s="229">
        <v>50428.4960548</v>
      </c>
      <c r="I73" s="253">
        <v>1390806.9148952</v>
      </c>
      <c r="J73" s="229">
        <v>207509.84814062</v>
      </c>
      <c r="K73" s="229">
        <v>4.90727196935233</v>
      </c>
      <c r="L73" s="229">
        <v>1.94428927188606</v>
      </c>
      <c r="M73" s="229">
        <v>0.395445800318361</v>
      </c>
      <c r="N73" s="229">
        <v>0.450236217061816</v>
      </c>
      <c r="O73" s="229">
        <v>2.82317063749875</v>
      </c>
      <c r="P73" s="254">
        <v>77.862430009721</v>
      </c>
      <c r="Q73" s="229">
        <v>11.6171560941616</v>
      </c>
      <c r="R73" s="38"/>
      <c r="S73" s="222"/>
      <c r="T73" s="222"/>
    </row>
    <row r="74" spans="1:19">
      <c r="A74" s="129"/>
      <c r="B74" s="228" t="s">
        <v>383</v>
      </c>
      <c r="C74" s="229">
        <v>1887512.45398054</v>
      </c>
      <c r="D74" s="229">
        <v>102919.85487185</v>
      </c>
      <c r="E74" s="229">
        <v>50193.998857678</v>
      </c>
      <c r="F74" s="229">
        <v>7510.79080966</v>
      </c>
      <c r="G74" s="229">
        <v>6316.7366901</v>
      </c>
      <c r="H74" s="229">
        <v>40936.613030965</v>
      </c>
      <c r="I74" s="253">
        <v>1466062.7807437</v>
      </c>
      <c r="J74" s="229">
        <v>213571.67897659</v>
      </c>
      <c r="K74" s="229">
        <v>5.45267156541426</v>
      </c>
      <c r="L74" s="229">
        <v>2.65926716148679</v>
      </c>
      <c r="M74" s="229">
        <v>0.397920066372045</v>
      </c>
      <c r="N74" s="229">
        <v>0.334659338367741</v>
      </c>
      <c r="O74" s="229">
        <v>2.16881287032753</v>
      </c>
      <c r="P74" s="254">
        <v>77.67168781599</v>
      </c>
      <c r="Q74" s="229">
        <v>11.3149811820416</v>
      </c>
      <c r="S74" s="222"/>
    </row>
    <row r="75" spans="1:19">
      <c r="A75" s="129"/>
      <c r="B75" s="228" t="s">
        <v>384</v>
      </c>
      <c r="C75" s="229">
        <v>2761381.54812577</v>
      </c>
      <c r="D75" s="229">
        <v>90294.906795447</v>
      </c>
      <c r="E75" s="229">
        <v>60697.48238415</v>
      </c>
      <c r="F75" s="229">
        <v>19513.69002779</v>
      </c>
      <c r="G75" s="229">
        <v>1598.763695</v>
      </c>
      <c r="H75" s="229">
        <v>120775.986197766</v>
      </c>
      <c r="I75" s="253">
        <v>2148838.07653739</v>
      </c>
      <c r="J75" s="229">
        <v>319662.64248823</v>
      </c>
      <c r="K75" s="229">
        <v>3.26991780099105</v>
      </c>
      <c r="L75" s="229">
        <v>2.19808386948001</v>
      </c>
      <c r="M75" s="229">
        <v>0.706664026238406</v>
      </c>
      <c r="N75" s="229">
        <v>0.0578972397380263</v>
      </c>
      <c r="O75" s="229">
        <v>4.37375219950101</v>
      </c>
      <c r="P75" s="254">
        <v>77.817499649618</v>
      </c>
      <c r="Q75" s="229">
        <v>11.5761852144335</v>
      </c>
      <c r="S75" s="222"/>
    </row>
    <row r="76" spans="1:20">
      <c r="A76" s="129"/>
      <c r="B76" s="228" t="s">
        <v>385</v>
      </c>
      <c r="C76" s="229">
        <v>3016388.88019706</v>
      </c>
      <c r="D76" s="229">
        <v>81869.320031579</v>
      </c>
      <c r="E76" s="229">
        <v>75668.574437455</v>
      </c>
      <c r="F76" s="229">
        <v>18624.3946093</v>
      </c>
      <c r="G76" s="229">
        <v>11553.8040068</v>
      </c>
      <c r="H76" s="229">
        <v>79795.172459629</v>
      </c>
      <c r="I76" s="253">
        <v>2452245.1840205</v>
      </c>
      <c r="J76" s="229">
        <v>296632.4306318</v>
      </c>
      <c r="K76" s="229">
        <v>2.71415004109916</v>
      </c>
      <c r="L76" s="229">
        <v>2.50858153384094</v>
      </c>
      <c r="M76" s="229">
        <v>0.617440103017594</v>
      </c>
      <c r="N76" s="229">
        <v>0.38303429914664</v>
      </c>
      <c r="O76" s="229">
        <v>2.64538743606613</v>
      </c>
      <c r="P76" s="254">
        <v>81.2973817838863</v>
      </c>
      <c r="Q76" s="229">
        <v>9.8340248029432</v>
      </c>
      <c r="R76" s="38"/>
      <c r="S76" s="222"/>
      <c r="T76" s="222"/>
    </row>
    <row r="77" spans="1:19">
      <c r="A77" s="129"/>
      <c r="B77" s="228" t="s">
        <v>386</v>
      </c>
      <c r="C77" s="229">
        <v>3462597.68340603</v>
      </c>
      <c r="D77" s="229">
        <v>79593.058959023</v>
      </c>
      <c r="E77" s="229">
        <v>66233.483599136</v>
      </c>
      <c r="F77" s="229">
        <v>11845.0497434</v>
      </c>
      <c r="G77" s="229">
        <v>7530.9460346</v>
      </c>
      <c r="H77" s="229">
        <v>68968.423009567</v>
      </c>
      <c r="I77" s="253">
        <v>2826538.6425026</v>
      </c>
      <c r="J77" s="229">
        <v>401888.0795577</v>
      </c>
      <c r="K77" s="229">
        <v>2.29865165509873</v>
      </c>
      <c r="L77" s="229">
        <v>1.91282642845139</v>
      </c>
      <c r="M77" s="229">
        <v>0.34208564859168</v>
      </c>
      <c r="N77" s="229">
        <v>0.217494110583246</v>
      </c>
      <c r="O77" s="229">
        <v>1.9918116199317</v>
      </c>
      <c r="P77" s="254">
        <v>81.6305820352263</v>
      </c>
      <c r="Q77" s="229">
        <v>11.606548502117</v>
      </c>
      <c r="S77" s="222"/>
    </row>
    <row r="78" spans="1:19">
      <c r="A78" s="129"/>
      <c r="B78" s="228" t="s">
        <v>387</v>
      </c>
      <c r="C78" s="229">
        <v>3867617.28698506</v>
      </c>
      <c r="D78" s="229">
        <v>58527.289667589</v>
      </c>
      <c r="E78" s="229">
        <v>47314.11522864</v>
      </c>
      <c r="F78" s="229">
        <v>11141.52113516</v>
      </c>
      <c r="G78" s="229">
        <v>7486.327407</v>
      </c>
      <c r="H78" s="229">
        <v>51421.580470136</v>
      </c>
      <c r="I78" s="253">
        <v>3256828.368193</v>
      </c>
      <c r="J78" s="229">
        <v>434898.08488354</v>
      </c>
      <c r="K78" s="229">
        <v>1.51326476548079</v>
      </c>
      <c r="L78" s="229">
        <v>1.22334015280821</v>
      </c>
      <c r="M78" s="229">
        <v>0.288071965461846</v>
      </c>
      <c r="N78" s="229">
        <v>0.193564327892325</v>
      </c>
      <c r="O78" s="229">
        <v>1.32954159252455</v>
      </c>
      <c r="P78" s="254">
        <v>84.2076174173843</v>
      </c>
      <c r="Q78" s="229">
        <v>11.244599778448</v>
      </c>
      <c r="S78" s="222"/>
    </row>
    <row r="79" spans="1:19">
      <c r="A79" s="129"/>
      <c r="B79" s="228" t="s">
        <v>388</v>
      </c>
      <c r="C79" s="229">
        <v>4141072.89603549</v>
      </c>
      <c r="D79" s="229">
        <v>111787.88510733</v>
      </c>
      <c r="E79" s="229">
        <v>68689.76488502</v>
      </c>
      <c r="F79" s="229">
        <v>14309.01375069</v>
      </c>
      <c r="G79" s="229">
        <v>9691.4508745</v>
      </c>
      <c r="H79" s="229">
        <v>85507.08909679</v>
      </c>
      <c r="I79" s="253">
        <v>3560711.422371</v>
      </c>
      <c r="J79" s="229">
        <v>290376.26995016</v>
      </c>
      <c r="K79" s="229">
        <v>2.6994908786646</v>
      </c>
      <c r="L79" s="229">
        <v>1.65874319553227</v>
      </c>
      <c r="M79" s="229">
        <v>0.345538803830015</v>
      </c>
      <c r="N79" s="229">
        <v>0.234032365954684</v>
      </c>
      <c r="O79" s="229">
        <v>2.06485351123984</v>
      </c>
      <c r="P79" s="254">
        <v>85.9852388925559</v>
      </c>
      <c r="Q79" s="229">
        <v>7.01210235222267</v>
      </c>
      <c r="S79" s="222"/>
    </row>
    <row r="80" spans="1:19">
      <c r="A80" s="129"/>
      <c r="B80" s="228" t="s">
        <v>389</v>
      </c>
      <c r="C80" s="229">
        <v>4267979.9982961</v>
      </c>
      <c r="D80" s="229">
        <v>165731.27587881</v>
      </c>
      <c r="E80" s="229">
        <v>148409.47097702</v>
      </c>
      <c r="F80" s="229">
        <v>10235.65932241</v>
      </c>
      <c r="G80" s="229">
        <v>10139.40769904</v>
      </c>
      <c r="H80" s="229">
        <v>78523.43300905</v>
      </c>
      <c r="I80" s="253">
        <v>3345174.39791802</v>
      </c>
      <c r="J80" s="229">
        <v>509766.353491752</v>
      </c>
      <c r="K80" s="229">
        <v>3.88313150354441</v>
      </c>
      <c r="L80" s="229">
        <v>3.47727662820044</v>
      </c>
      <c r="M80" s="229">
        <v>0.239824444502935</v>
      </c>
      <c r="N80" s="229">
        <v>0.237569241259049</v>
      </c>
      <c r="O80" s="229">
        <v>1.83982664024665</v>
      </c>
      <c r="P80" s="254">
        <v>78.3783991315215</v>
      </c>
      <c r="Q80" s="229">
        <v>11.9439724107251</v>
      </c>
      <c r="S80" s="222"/>
    </row>
    <row r="81" spans="1:19">
      <c r="A81" s="129"/>
      <c r="B81" s="228" t="s">
        <v>390</v>
      </c>
      <c r="C81" s="229">
        <v>4284566.608944</v>
      </c>
      <c r="D81" s="229">
        <v>186452.596758376</v>
      </c>
      <c r="E81" s="229">
        <v>112312.411420389</v>
      </c>
      <c r="F81" s="229">
        <v>11327.648628443</v>
      </c>
      <c r="G81" s="229">
        <v>11212.569319</v>
      </c>
      <c r="H81" s="229">
        <v>70933.734138262</v>
      </c>
      <c r="I81" s="253">
        <v>3404818.1130188</v>
      </c>
      <c r="J81" s="229">
        <v>487509.535660732</v>
      </c>
      <c r="K81" s="229">
        <v>4.35172594514361</v>
      </c>
      <c r="L81" s="229">
        <v>2.62132490100487</v>
      </c>
      <c r="M81" s="229">
        <v>0.264382600676498</v>
      </c>
      <c r="N81" s="229">
        <v>0.261696697528143</v>
      </c>
      <c r="O81" s="229">
        <v>1.65556380872194</v>
      </c>
      <c r="P81" s="254">
        <v>79.4670365472033</v>
      </c>
      <c r="Q81" s="229">
        <v>11.3782694997216</v>
      </c>
      <c r="S81" s="222"/>
    </row>
    <row r="82" spans="1:17">
      <c r="A82" s="230">
        <v>2024</v>
      </c>
      <c r="B82" s="228" t="s">
        <v>379</v>
      </c>
      <c r="C82" s="228">
        <v>6246957.73637797</v>
      </c>
      <c r="D82" s="228">
        <v>346557.24395216</v>
      </c>
      <c r="E82" s="228">
        <v>140401.255200688</v>
      </c>
      <c r="F82" s="228">
        <v>15499.5768867</v>
      </c>
      <c r="G82" s="228">
        <v>12528.3867153</v>
      </c>
      <c r="H82" s="228">
        <v>76285.956235651</v>
      </c>
      <c r="I82" s="73">
        <v>5200489.41837389</v>
      </c>
      <c r="J82" s="228">
        <v>455195.899013583</v>
      </c>
      <c r="K82" s="228">
        <v>5.54761627302279</v>
      </c>
      <c r="L82" s="228">
        <v>2.24751408806703</v>
      </c>
      <c r="M82" s="228">
        <v>0.248114002699925</v>
      </c>
      <c r="N82" s="228">
        <v>0.200551808480204</v>
      </c>
      <c r="O82" s="228">
        <v>1.22116971900441</v>
      </c>
      <c r="P82" s="228">
        <v>83.2483528436542</v>
      </c>
      <c r="Q82" s="228">
        <v>7.28668126507142</v>
      </c>
    </row>
    <row r="83" spans="1:17">
      <c r="A83" s="213"/>
      <c r="B83" s="228" t="s">
        <v>380</v>
      </c>
      <c r="C83" s="228">
        <v>6657421.74921332</v>
      </c>
      <c r="D83" s="228">
        <v>268334.05067138</v>
      </c>
      <c r="E83" s="228">
        <v>79683.54853756</v>
      </c>
      <c r="F83" s="228">
        <v>16862.30278892</v>
      </c>
      <c r="G83" s="228">
        <v>19914.5253196</v>
      </c>
      <c r="H83" s="228">
        <v>83236.01651158</v>
      </c>
      <c r="I83" s="73">
        <v>5483536.29869788</v>
      </c>
      <c r="J83" s="228">
        <v>705855.0066864</v>
      </c>
      <c r="K83" s="228">
        <v>4.03060014491478</v>
      </c>
      <c r="L83" s="228">
        <v>1.19691303239089</v>
      </c>
      <c r="M83" s="228">
        <v>0.253285782756854</v>
      </c>
      <c r="N83" s="228">
        <v>0.29913269835959</v>
      </c>
      <c r="O83" s="228">
        <v>1.25027404973127</v>
      </c>
      <c r="P83" s="228">
        <v>82.3672662670928</v>
      </c>
      <c r="Q83" s="228">
        <v>10.6025280247538</v>
      </c>
    </row>
    <row r="84" spans="1:17">
      <c r="A84" s="213"/>
      <c r="B84" s="228" t="s">
        <v>391</v>
      </c>
      <c r="C84" s="228">
        <v>6271814.31821295</v>
      </c>
      <c r="D84" s="228">
        <v>420132.429284867</v>
      </c>
      <c r="E84" s="228">
        <v>132668.954905435</v>
      </c>
      <c r="F84" s="228">
        <v>31049.57639125</v>
      </c>
      <c r="G84" s="228">
        <v>26520.482104</v>
      </c>
      <c r="H84" s="228">
        <v>109173.946192147</v>
      </c>
      <c r="I84" s="73">
        <v>4802606.93912326</v>
      </c>
      <c r="J84" s="228">
        <v>749661.990211995</v>
      </c>
      <c r="K84" s="228">
        <v>6.69873832305317</v>
      </c>
      <c r="L84" s="228">
        <v>2.11532019562781</v>
      </c>
      <c r="M84" s="228">
        <v>0.495065300340349</v>
      </c>
      <c r="N84" s="228">
        <v>0.422851837736749</v>
      </c>
      <c r="O84" s="228">
        <v>1.74070756328217</v>
      </c>
      <c r="P84" s="228">
        <v>76.5744439400381</v>
      </c>
      <c r="Q84" s="228">
        <v>11.9528728399217</v>
      </c>
    </row>
    <row r="85" spans="1:17">
      <c r="A85" s="213"/>
      <c r="B85" s="228" t="s">
        <v>382</v>
      </c>
      <c r="C85" s="228">
        <v>5546703.84370833</v>
      </c>
      <c r="D85" s="228">
        <v>369664.74337382</v>
      </c>
      <c r="E85" s="228">
        <v>127212.998178</v>
      </c>
      <c r="F85" s="228">
        <v>18438.87252315</v>
      </c>
      <c r="G85" s="228">
        <v>23240.5183238</v>
      </c>
      <c r="H85" s="228">
        <v>143226.58698776</v>
      </c>
      <c r="I85" s="73">
        <v>3965351.17741404</v>
      </c>
      <c r="J85" s="228">
        <v>899568.946907757</v>
      </c>
      <c r="K85" s="228">
        <v>6.66458411680179</v>
      </c>
      <c r="L85" s="228">
        <v>2.29348820060582</v>
      </c>
      <c r="M85" s="228">
        <v>0.332429367831949</v>
      </c>
      <c r="N85" s="228">
        <v>0.41899692103017</v>
      </c>
      <c r="O85" s="228">
        <v>2.58219279455893</v>
      </c>
      <c r="P85" s="228">
        <v>71.4902271537711</v>
      </c>
      <c r="Q85" s="228">
        <v>16.2180814454001</v>
      </c>
    </row>
    <row r="86" spans="1:17">
      <c r="A86" s="213"/>
      <c r="B86" s="228" t="s">
        <v>383</v>
      </c>
      <c r="C86" s="228">
        <v>6030007.55457192</v>
      </c>
      <c r="D86" s="228">
        <v>360123.35468578</v>
      </c>
      <c r="E86" s="228">
        <v>131554.51607288</v>
      </c>
      <c r="F86" s="228">
        <v>19898.22021439</v>
      </c>
      <c r="G86" s="228">
        <v>23240.68909784</v>
      </c>
      <c r="H86" s="228">
        <v>158712.95349237</v>
      </c>
      <c r="I86" s="73">
        <v>4414195.38505239</v>
      </c>
      <c r="J86" s="228">
        <v>922282.435956261</v>
      </c>
      <c r="K86" s="228">
        <v>5.97218745460338</v>
      </c>
      <c r="L86" s="228">
        <v>2.18166419995836</v>
      </c>
      <c r="M86" s="228">
        <v>0.329986654814442</v>
      </c>
      <c r="N86" s="228">
        <v>0.38541724678635</v>
      </c>
      <c r="O86" s="228">
        <v>2.63205231595497</v>
      </c>
      <c r="P86" s="228">
        <v>73.2038118543579</v>
      </c>
      <c r="Q86" s="228">
        <v>15.2948802735246</v>
      </c>
    </row>
    <row r="87" spans="1:17">
      <c r="A87" s="213"/>
      <c r="B87" s="228" t="s">
        <v>384</v>
      </c>
      <c r="C87" s="228">
        <v>6137695.83238928</v>
      </c>
      <c r="D87" s="228">
        <v>243898.40366311</v>
      </c>
      <c r="E87" s="228">
        <v>122977.87311592</v>
      </c>
      <c r="F87" s="228">
        <v>20222.24824007</v>
      </c>
      <c r="G87" s="228">
        <v>20714.303403897</v>
      </c>
      <c r="H87" s="228">
        <v>178879.79881904</v>
      </c>
      <c r="I87" s="73">
        <v>4229848.29409298</v>
      </c>
      <c r="J87" s="228">
        <v>1321154.91105427</v>
      </c>
      <c r="K87" s="228">
        <v>3.97377795061189</v>
      </c>
      <c r="L87" s="228">
        <v>2.00364886879784</v>
      </c>
      <c r="M87" s="228">
        <v>0.329476220267466</v>
      </c>
      <c r="N87" s="228">
        <v>0.337493156545578</v>
      </c>
      <c r="O87" s="228">
        <v>2.9144454809095</v>
      </c>
      <c r="P87" s="228">
        <v>68.9158995428156</v>
      </c>
      <c r="Q87" s="228">
        <v>21.5252587800521</v>
      </c>
    </row>
    <row r="88" spans="1:17">
      <c r="A88" s="213"/>
      <c r="B88" s="228" t="s">
        <v>385</v>
      </c>
      <c r="C88" s="228">
        <v>7094192.45418219</v>
      </c>
      <c r="D88" s="228">
        <v>328671.57476681</v>
      </c>
      <c r="E88" s="228">
        <v>133792.876795101</v>
      </c>
      <c r="F88" s="228">
        <v>24760.347424202</v>
      </c>
      <c r="G88" s="228">
        <v>19198.8751064</v>
      </c>
      <c r="H88" s="228">
        <v>658178.918918991</v>
      </c>
      <c r="I88" s="228">
        <v>4394083.47139463</v>
      </c>
      <c r="J88" s="228">
        <v>1535506.38977605</v>
      </c>
      <c r="K88" s="228">
        <v>4.63296671029908</v>
      </c>
      <c r="L88" s="228">
        <v>1.88594935447835</v>
      </c>
      <c r="M88" s="228">
        <v>0.349022775800299</v>
      </c>
      <c r="N88" s="228">
        <v>0.270628055700432</v>
      </c>
      <c r="O88" s="228">
        <v>9.27771445685801</v>
      </c>
      <c r="P88" s="228">
        <v>61.9391636155038</v>
      </c>
      <c r="Q88" s="228">
        <v>21.64455503136</v>
      </c>
    </row>
    <row r="89" spans="1:17">
      <c r="A89" s="213"/>
      <c r="B89" s="228" t="s">
        <v>386</v>
      </c>
      <c r="C89" s="228">
        <v>7345006.78541366</v>
      </c>
      <c r="D89" s="228">
        <v>298452.39170373</v>
      </c>
      <c r="E89" s="228">
        <v>126772.876003971</v>
      </c>
      <c r="F89" s="228">
        <v>24974.8868349</v>
      </c>
      <c r="G89" s="228">
        <v>17738.60632362</v>
      </c>
      <c r="H89" s="228">
        <v>208759.983859582</v>
      </c>
      <c r="I89" s="228">
        <v>5107035.9023227</v>
      </c>
      <c r="J89" s="228">
        <v>1561272.13836516</v>
      </c>
      <c r="K89" s="228">
        <v>4.06333718161326</v>
      </c>
      <c r="L89" s="228">
        <v>1.72597357235568</v>
      </c>
      <c r="M89" s="228">
        <v>0.340025374578241</v>
      </c>
      <c r="N89" s="228">
        <v>0.241505649237069</v>
      </c>
      <c r="O89" s="228">
        <v>2.84220273661497</v>
      </c>
      <c r="P89" s="228">
        <v>69.5307172821772</v>
      </c>
      <c r="Q89" s="228">
        <v>21.2562382034236</v>
      </c>
    </row>
    <row r="90" spans="1:17">
      <c r="A90" s="213"/>
      <c r="B90" s="228" t="s">
        <v>387</v>
      </c>
      <c r="C90" s="228">
        <v>6097969.56100895</v>
      </c>
      <c r="D90" s="228">
        <v>263593.171900862</v>
      </c>
      <c r="E90" s="228">
        <v>179253.813352078</v>
      </c>
      <c r="F90" s="228">
        <v>27966.029756012</v>
      </c>
      <c r="G90" s="228">
        <v>23802.50433411</v>
      </c>
      <c r="H90" s="228">
        <v>174343.190633648</v>
      </c>
      <c r="I90" s="228">
        <v>3905247.85038826</v>
      </c>
      <c r="J90" s="228">
        <v>1523763.00064398</v>
      </c>
      <c r="K90" s="228">
        <v>4.32263836779875</v>
      </c>
      <c r="L90" s="228">
        <v>2.93956556454866</v>
      </c>
      <c r="M90" s="228">
        <v>0.458612157312652</v>
      </c>
      <c r="N90" s="228">
        <v>0.390334915515251</v>
      </c>
      <c r="O90" s="228">
        <v>2.85903674804178</v>
      </c>
      <c r="P90" s="228">
        <v>64.041773434863</v>
      </c>
      <c r="Q90" s="228">
        <v>24.9880388119199</v>
      </c>
    </row>
    <row r="91" spans="1:17">
      <c r="A91" s="213"/>
      <c r="B91" s="228" t="s">
        <v>388</v>
      </c>
      <c r="C91" s="228">
        <v>6528662.89972365</v>
      </c>
      <c r="D91" s="228">
        <v>367818.76280454</v>
      </c>
      <c r="E91" s="228">
        <v>273921.78587957</v>
      </c>
      <c r="F91" s="228">
        <v>22182.99317093</v>
      </c>
      <c r="G91" s="228">
        <v>24562.45694161</v>
      </c>
      <c r="H91" s="228">
        <v>169672.64979948</v>
      </c>
      <c r="I91" s="228">
        <v>4831136.31914123</v>
      </c>
      <c r="J91" s="228">
        <v>839367.93198629</v>
      </c>
      <c r="K91" s="228">
        <v>5.63390648979762</v>
      </c>
      <c r="L91" s="228">
        <v>4.19567972932352</v>
      </c>
      <c r="M91" s="228">
        <v>0.33977850459807</v>
      </c>
      <c r="N91" s="228">
        <v>0.376224922604745</v>
      </c>
      <c r="O91" s="228">
        <v>2.59888820123738</v>
      </c>
      <c r="P91" s="228">
        <v>73.9988630649888</v>
      </c>
      <c r="Q91" s="228">
        <v>12.8566590874499</v>
      </c>
    </row>
    <row r="92" spans="1:17">
      <c r="A92" s="213"/>
      <c r="B92" s="228" t="s">
        <v>389</v>
      </c>
      <c r="C92" s="228">
        <v>6506990.55667567</v>
      </c>
      <c r="D92" s="228">
        <v>594101.32731386</v>
      </c>
      <c r="E92" s="228">
        <v>173192.07075581</v>
      </c>
      <c r="F92" s="228">
        <v>24101.13869177</v>
      </c>
      <c r="G92" s="228">
        <v>26020.72647614</v>
      </c>
      <c r="H92" s="228">
        <v>157260.47875403</v>
      </c>
      <c r="I92" s="228">
        <v>4437799.64499823</v>
      </c>
      <c r="J92" s="228">
        <v>1094515.16968583</v>
      </c>
      <c r="K92" s="228">
        <v>9.13020116041751</v>
      </c>
      <c r="L92" s="228">
        <v>2.66163089138232</v>
      </c>
      <c r="M92" s="228">
        <v>0.370388407388176</v>
      </c>
      <c r="N92" s="228">
        <v>0.399888800352488</v>
      </c>
      <c r="O92" s="228">
        <v>2.41679279206411</v>
      </c>
      <c r="P92" s="228">
        <v>68.2004930903948</v>
      </c>
      <c r="Q92" s="228">
        <v>16.8206048580006</v>
      </c>
    </row>
    <row r="93" spans="1:17">
      <c r="A93" s="213"/>
      <c r="B93" s="228" t="s">
        <v>390</v>
      </c>
      <c r="C93" s="228">
        <v>6978675.66329888</v>
      </c>
      <c r="D93" s="228">
        <v>578537.31919969</v>
      </c>
      <c r="E93" s="228">
        <v>224005.64422734</v>
      </c>
      <c r="F93" s="228">
        <v>14419.23379294</v>
      </c>
      <c r="G93" s="228">
        <v>25439.3842491</v>
      </c>
      <c r="H93" s="228">
        <v>167286.88921061</v>
      </c>
      <c r="I93" s="228">
        <v>4514067.53238859</v>
      </c>
      <c r="J93" s="228">
        <v>1454919.66023061</v>
      </c>
      <c r="K93" s="228">
        <v>8.29007317594998</v>
      </c>
      <c r="L93" s="228">
        <v>3.20985893362826</v>
      </c>
      <c r="M93" s="228">
        <v>0.206618483056482</v>
      </c>
      <c r="N93" s="228">
        <v>0.364530255831872</v>
      </c>
      <c r="O93" s="228">
        <v>2.39711511584323</v>
      </c>
      <c r="P93" s="228">
        <v>64.6837272597184</v>
      </c>
      <c r="Q93" s="228">
        <v>20.8480767759718</v>
      </c>
    </row>
    <row r="94" spans="1:17">
      <c r="A94" s="231">
        <v>2025</v>
      </c>
      <c r="B94" s="232" t="s">
        <v>379</v>
      </c>
      <c r="C94" s="232">
        <v>6791847.34638655</v>
      </c>
      <c r="D94" s="232">
        <v>636319.34187285</v>
      </c>
      <c r="E94" s="232">
        <v>462400.75941592</v>
      </c>
      <c r="F94" s="232">
        <v>23800.07550449</v>
      </c>
      <c r="G94" s="232">
        <v>20698.951238447</v>
      </c>
      <c r="H94" s="232">
        <v>84482.07122944</v>
      </c>
      <c r="I94" s="232">
        <v>4206403.27270936</v>
      </c>
      <c r="J94" s="232">
        <v>1357742.87441605</v>
      </c>
      <c r="K94" s="185">
        <v>9.36886990269869</v>
      </c>
      <c r="L94" s="185">
        <v>6.80817362100945</v>
      </c>
      <c r="M94" s="185">
        <v>0.350421237266946</v>
      </c>
      <c r="N94" s="185">
        <v>0.304761726564119</v>
      </c>
      <c r="O94" s="185">
        <v>1.24387470625921</v>
      </c>
      <c r="P94" s="185">
        <v>61.9331244973767</v>
      </c>
      <c r="Q94" s="185">
        <v>19.9907743088249</v>
      </c>
    </row>
    <row r="95" spans="1:17">
      <c r="A95" s="213"/>
      <c r="B95" s="232" t="s">
        <v>380</v>
      </c>
      <c r="C95" s="232">
        <v>7014759.68697944</v>
      </c>
      <c r="D95" s="232">
        <v>582138.00422813</v>
      </c>
      <c r="E95" s="232">
        <v>287333.58941436</v>
      </c>
      <c r="F95" s="232">
        <v>12400.94045075</v>
      </c>
      <c r="G95" s="232">
        <v>20369.326605311</v>
      </c>
      <c r="H95" s="232">
        <v>62485.56702461</v>
      </c>
      <c r="I95" s="232">
        <v>4291523.90575292</v>
      </c>
      <c r="J95" s="232">
        <v>1758508.35350335</v>
      </c>
      <c r="K95" s="185">
        <v>8.29875904813496</v>
      </c>
      <c r="L95" s="185">
        <v>4.09612876614574</v>
      </c>
      <c r="M95" s="185">
        <v>0.176783539338749</v>
      </c>
      <c r="N95" s="185">
        <v>0.290378110074389</v>
      </c>
      <c r="O95" s="185">
        <v>0.890772739379705</v>
      </c>
      <c r="P95" s="185">
        <v>61.1784878920186</v>
      </c>
      <c r="Q95" s="185">
        <v>25.0686899049077</v>
      </c>
    </row>
    <row r="96" spans="1:17">
      <c r="A96" s="213"/>
      <c r="B96" s="232" t="s">
        <v>391</v>
      </c>
      <c r="C96" s="232">
        <v>6791873.71927365</v>
      </c>
      <c r="D96" s="232">
        <v>485687.738356968</v>
      </c>
      <c r="E96" s="232">
        <v>294856.82783916</v>
      </c>
      <c r="F96" s="232">
        <v>22664.85465259</v>
      </c>
      <c r="G96" s="232">
        <v>24778.1236431</v>
      </c>
      <c r="H96" s="232">
        <v>147459.654191035</v>
      </c>
      <c r="I96" s="232">
        <v>4457101.02400452</v>
      </c>
      <c r="J96" s="232">
        <v>1359325.49658628</v>
      </c>
      <c r="K96" s="185">
        <v>7.1510124956933</v>
      </c>
      <c r="L96" s="185">
        <v>4.34131787524891</v>
      </c>
      <c r="M96" s="185">
        <v>0.333705477890038</v>
      </c>
      <c r="N96" s="185">
        <v>0.364820146357931</v>
      </c>
      <c r="O96" s="185">
        <v>2.17111890305883</v>
      </c>
      <c r="P96" s="185">
        <v>65.6240267152844</v>
      </c>
      <c r="Q96" s="185">
        <v>20.0139983864666</v>
      </c>
    </row>
    <row r="97" spans="1:17">
      <c r="A97" s="179"/>
      <c r="B97" s="223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  <row r="98" spans="1:17">
      <c r="A98" s="179"/>
      <c r="B98" s="223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spans="1:17">
      <c r="A99" s="179"/>
      <c r="B99" s="223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spans="1:17">
      <c r="A100" s="179"/>
      <c r="B100" s="223"/>
      <c r="C100" s="19"/>
      <c r="D100" s="19"/>
      <c r="E100" s="233"/>
      <c r="F100" s="19"/>
      <c r="G100" s="19"/>
      <c r="H100" s="19"/>
      <c r="J100" s="19"/>
      <c r="K100" s="19"/>
      <c r="L100" s="19"/>
      <c r="M100" s="19"/>
      <c r="N100" s="18"/>
      <c r="O100" s="18"/>
      <c r="Q100" s="18"/>
    </row>
    <row r="101" spans="1:17">
      <c r="A101" s="179"/>
      <c r="B101" s="223"/>
      <c r="C101" s="178"/>
      <c r="D101" s="178"/>
      <c r="E101" s="178"/>
      <c r="F101" s="178"/>
      <c r="G101" s="178"/>
      <c r="H101" s="178"/>
      <c r="I101" s="178"/>
      <c r="J101" s="178"/>
      <c r="K101" s="19"/>
      <c r="L101" s="19"/>
      <c r="M101" s="19"/>
      <c r="N101" s="18"/>
      <c r="O101" s="18"/>
      <c r="P101" s="203"/>
      <c r="Q101" s="18"/>
    </row>
    <row r="102" spans="1:17">
      <c r="A102" s="179"/>
      <c r="B102" s="223"/>
      <c r="C102" s="178"/>
      <c r="D102" s="178"/>
      <c r="E102" s="178"/>
      <c r="F102" s="178"/>
      <c r="G102" s="178"/>
      <c r="H102" s="178"/>
      <c r="I102" s="178"/>
      <c r="J102" s="178"/>
      <c r="K102" s="19"/>
      <c r="L102" s="19"/>
      <c r="M102" s="19"/>
      <c r="N102" s="18"/>
      <c r="O102" s="18"/>
      <c r="P102" s="203"/>
      <c r="Q102" s="18"/>
    </row>
    <row r="103" ht="17.4" spans="1:17">
      <c r="A103" s="234" t="s">
        <v>658</v>
      </c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56"/>
    </row>
    <row r="104" spans="1:19">
      <c r="A104" s="236" t="s">
        <v>636</v>
      </c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21"/>
      <c r="S104" s="221"/>
    </row>
    <row r="105" ht="80.25" customHeight="1" spans="1:20">
      <c r="A105" s="237"/>
      <c r="B105" s="238"/>
      <c r="C105" s="182" t="s">
        <v>636</v>
      </c>
      <c r="D105" s="182" t="s">
        <v>644</v>
      </c>
      <c r="E105" s="183" t="s">
        <v>645</v>
      </c>
      <c r="F105" s="182" t="s">
        <v>646</v>
      </c>
      <c r="G105" s="183" t="s">
        <v>647</v>
      </c>
      <c r="H105" s="182" t="s">
        <v>648</v>
      </c>
      <c r="I105" s="205" t="s">
        <v>649</v>
      </c>
      <c r="J105" s="182" t="s">
        <v>650</v>
      </c>
      <c r="K105" s="183" t="s">
        <v>651</v>
      </c>
      <c r="L105" s="183" t="s">
        <v>652</v>
      </c>
      <c r="M105" s="183" t="s">
        <v>653</v>
      </c>
      <c r="N105" s="182" t="s">
        <v>654</v>
      </c>
      <c r="O105" s="182" t="s">
        <v>655</v>
      </c>
      <c r="P105" s="206" t="s">
        <v>656</v>
      </c>
      <c r="Q105" s="182" t="s">
        <v>657</v>
      </c>
      <c r="R105" s="257"/>
      <c r="S105" s="257"/>
      <c r="T105" s="258"/>
    </row>
    <row r="106" s="176" customFormat="1" ht="14.4" spans="1:19">
      <c r="A106" s="184">
        <v>2025</v>
      </c>
      <c r="B106" s="185" t="s">
        <v>374</v>
      </c>
      <c r="C106" s="185">
        <v>15426174.7450436</v>
      </c>
      <c r="D106" s="185">
        <v>1035806.559055</v>
      </c>
      <c r="E106" s="185">
        <v>1811097.124816</v>
      </c>
      <c r="F106" s="185">
        <v>91777.549968</v>
      </c>
      <c r="G106" s="185">
        <v>45.769078</v>
      </c>
      <c r="H106" s="185">
        <v>7512223.17444</v>
      </c>
      <c r="I106" s="185">
        <v>1188248.267913</v>
      </c>
      <c r="J106" s="185">
        <v>3786976.29977362</v>
      </c>
      <c r="K106" s="185">
        <v>6.71460408153228</v>
      </c>
      <c r="L106" s="185">
        <v>11.7404162389506</v>
      </c>
      <c r="M106" s="185">
        <v>0.594946909942712</v>
      </c>
      <c r="N106" s="185">
        <v>0.000296697520652069</v>
      </c>
      <c r="O106" s="185">
        <v>48.6979001508696</v>
      </c>
      <c r="P106" s="185">
        <v>7.70280570233253</v>
      </c>
      <c r="Q106" s="185">
        <v>24.5490302188517</v>
      </c>
      <c r="S106" s="259"/>
    </row>
    <row r="107" s="176" customFormat="1" spans="1:19">
      <c r="A107" s="184">
        <v>2024</v>
      </c>
      <c r="B107" s="239" t="s">
        <v>368</v>
      </c>
      <c r="C107" s="239">
        <v>60590548.8426538</v>
      </c>
      <c r="D107" s="239">
        <v>3786573.243451</v>
      </c>
      <c r="E107" s="239">
        <v>6637749.41801</v>
      </c>
      <c r="F107" s="239">
        <v>372248.339468</v>
      </c>
      <c r="G107" s="239">
        <v>353.076916</v>
      </c>
      <c r="H107" s="239">
        <v>26770787.628358</v>
      </c>
      <c r="I107" s="245">
        <v>0</v>
      </c>
      <c r="J107" s="239">
        <v>23022837.1364508</v>
      </c>
      <c r="K107" s="239">
        <v>6.24944536033873</v>
      </c>
      <c r="L107" s="239">
        <v>10.9550904304356</v>
      </c>
      <c r="M107" s="239">
        <v>0.614367003729712</v>
      </c>
      <c r="N107" s="239">
        <v>0.00058272605669392</v>
      </c>
      <c r="O107" s="239">
        <v>44.1831079924337</v>
      </c>
      <c r="P107" s="245">
        <v>0</v>
      </c>
      <c r="Q107" s="239">
        <v>37.9974064870056</v>
      </c>
      <c r="S107" s="260"/>
    </row>
    <row r="108" spans="1:19">
      <c r="A108" s="240">
        <v>2023</v>
      </c>
      <c r="B108" s="7" t="s">
        <v>368</v>
      </c>
      <c r="C108" s="241">
        <v>30863065.5361904</v>
      </c>
      <c r="D108" s="91">
        <v>2281066.369254</v>
      </c>
      <c r="E108" s="91">
        <v>3040991.614627</v>
      </c>
      <c r="F108" s="91">
        <v>190740.976935</v>
      </c>
      <c r="G108" s="91">
        <v>206.915119</v>
      </c>
      <c r="H108" s="91">
        <v>13344723.4438627</v>
      </c>
      <c r="I108" s="245">
        <v>0</v>
      </c>
      <c r="J108" s="91">
        <v>12005336.2163926</v>
      </c>
      <c r="K108" s="91">
        <v>7.3909261106263</v>
      </c>
      <c r="L108" s="91">
        <v>9.8531742125911</v>
      </c>
      <c r="M108" s="91">
        <v>0.61802343228457</v>
      </c>
      <c r="N108" s="91">
        <v>0.000670429574655729</v>
      </c>
      <c r="O108" s="91">
        <v>43.2384898000964</v>
      </c>
      <c r="P108" s="245">
        <v>0</v>
      </c>
      <c r="Q108" s="91">
        <v>38.898716014827</v>
      </c>
      <c r="S108" s="52"/>
    </row>
    <row r="109" spans="1:19">
      <c r="A109" s="7">
        <v>2022</v>
      </c>
      <c r="B109" s="7" t="s">
        <v>368</v>
      </c>
      <c r="C109" s="91">
        <v>25590547.4094675</v>
      </c>
      <c r="D109" s="91">
        <v>1865533.853139</v>
      </c>
      <c r="E109" s="91">
        <v>2443107.463388</v>
      </c>
      <c r="F109" s="91">
        <v>151525.91665</v>
      </c>
      <c r="G109" s="91">
        <v>24.190271</v>
      </c>
      <c r="H109" s="91">
        <v>11026112.922643</v>
      </c>
      <c r="I109" s="245">
        <v>0</v>
      </c>
      <c r="J109" s="91">
        <v>10104243.0633765</v>
      </c>
      <c r="K109" s="91">
        <v>7.28993336206955</v>
      </c>
      <c r="L109" s="91">
        <v>9.54691364860817</v>
      </c>
      <c r="M109" s="91">
        <v>0.592116746177697</v>
      </c>
      <c r="N109" s="245">
        <v>9.45281498396182e-5</v>
      </c>
      <c r="O109" s="91">
        <v>43.0866630018386</v>
      </c>
      <c r="P109" s="255">
        <v>0</v>
      </c>
      <c r="Q109" s="91">
        <v>39.4842787131562</v>
      </c>
      <c r="S109" s="52"/>
    </row>
    <row r="110" spans="1:20">
      <c r="A110" s="7">
        <v>2021</v>
      </c>
      <c r="B110" s="7" t="s">
        <v>368</v>
      </c>
      <c r="C110" s="91">
        <v>20843964.9524619</v>
      </c>
      <c r="D110" s="91">
        <v>1966893.486686</v>
      </c>
      <c r="E110" s="91">
        <v>1926628.145514</v>
      </c>
      <c r="F110" s="91">
        <v>113363.969518</v>
      </c>
      <c r="G110" s="91">
        <v>57.833001</v>
      </c>
      <c r="H110" s="91">
        <v>10384174.640674</v>
      </c>
      <c r="I110" s="245">
        <v>0</v>
      </c>
      <c r="J110" s="91">
        <v>6453930.50509092</v>
      </c>
      <c r="K110" s="91">
        <v>9.4362732386656</v>
      </c>
      <c r="L110" s="91">
        <v>9.24309818169428</v>
      </c>
      <c r="M110" s="91">
        <v>0.54386950744038</v>
      </c>
      <c r="N110" s="245">
        <v>0.000277456813671956</v>
      </c>
      <c r="O110" s="91">
        <v>49.8186149533297</v>
      </c>
      <c r="P110" s="255">
        <v>0</v>
      </c>
      <c r="Q110" s="91">
        <v>30.9630654235419</v>
      </c>
      <c r="S110" s="261"/>
      <c r="T110" s="223"/>
    </row>
    <row r="111" spans="1:20">
      <c r="A111" s="128">
        <v>2020</v>
      </c>
      <c r="B111" s="7" t="s">
        <v>368</v>
      </c>
      <c r="C111" s="91">
        <v>12700943.807826</v>
      </c>
      <c r="D111" s="91">
        <v>1145121.493637</v>
      </c>
      <c r="E111" s="91">
        <v>1397137.87046</v>
      </c>
      <c r="F111" s="91">
        <v>73553.599684</v>
      </c>
      <c r="G111" s="91">
        <v>31.060896</v>
      </c>
      <c r="H111" s="91">
        <v>7191622.71342</v>
      </c>
      <c r="I111" s="245">
        <v>0</v>
      </c>
      <c r="J111" s="91">
        <v>2893477.069729</v>
      </c>
      <c r="K111" s="91">
        <v>9.01603464249173</v>
      </c>
      <c r="L111" s="91">
        <v>11.0002681029037</v>
      </c>
      <c r="M111" s="91">
        <v>0.579119164661434</v>
      </c>
      <c r="N111" s="245">
        <v>0.00024455580994588</v>
      </c>
      <c r="O111" s="91">
        <v>56.6227425475948</v>
      </c>
      <c r="P111" s="255">
        <v>0</v>
      </c>
      <c r="Q111" s="91">
        <v>22.7815909865384</v>
      </c>
      <c r="S111" s="261"/>
      <c r="T111" s="223"/>
    </row>
    <row r="112" spans="1:20">
      <c r="A112" s="184">
        <v>2025</v>
      </c>
      <c r="B112" s="242" t="s">
        <v>375</v>
      </c>
      <c r="C112" s="243">
        <v>15426174.7450436</v>
      </c>
      <c r="D112" s="243">
        <v>1035806.559055</v>
      </c>
      <c r="E112" s="243">
        <v>1811097.124816</v>
      </c>
      <c r="F112" s="243">
        <v>91777.549968</v>
      </c>
      <c r="G112" s="243">
        <v>45.769078</v>
      </c>
      <c r="H112" s="243">
        <v>7512223.17444</v>
      </c>
      <c r="I112" s="243">
        <v>1188248.267913</v>
      </c>
      <c r="J112" s="243">
        <v>3786976.29977362</v>
      </c>
      <c r="K112" s="185">
        <v>6.71460408153228</v>
      </c>
      <c r="L112" s="185">
        <v>11.7404162389506</v>
      </c>
      <c r="M112" s="185">
        <v>0.594946909942712</v>
      </c>
      <c r="N112" s="185">
        <v>0.000296697520652069</v>
      </c>
      <c r="O112" s="185">
        <v>48.6979001508696</v>
      </c>
      <c r="P112" s="185">
        <v>7.70280570233253</v>
      </c>
      <c r="Q112" s="185">
        <v>24.5490302188517</v>
      </c>
      <c r="S112" s="261"/>
      <c r="T112" s="223"/>
    </row>
    <row r="113" spans="1:20">
      <c r="A113" s="184">
        <v>2024</v>
      </c>
      <c r="B113" s="184" t="s">
        <v>378</v>
      </c>
      <c r="C113" s="244">
        <v>16590505.5325158</v>
      </c>
      <c r="D113" s="244">
        <v>1090546.420213</v>
      </c>
      <c r="E113" s="244">
        <v>2109263.910692</v>
      </c>
      <c r="F113" s="244">
        <v>111788.779246</v>
      </c>
      <c r="G113" s="244">
        <v>121.628343</v>
      </c>
      <c r="H113" s="244">
        <v>8473557.832337</v>
      </c>
      <c r="I113" s="244">
        <v>0</v>
      </c>
      <c r="J113" s="244">
        <v>4805226.96168479</v>
      </c>
      <c r="K113" s="244">
        <v>6.57331639518539</v>
      </c>
      <c r="L113" s="244">
        <v>12.7136807649294</v>
      </c>
      <c r="M113" s="244">
        <v>0.673811771599755</v>
      </c>
      <c r="N113" s="244">
        <v>0.000733120173834487</v>
      </c>
      <c r="O113" s="244">
        <v>51.0747416088657</v>
      </c>
      <c r="P113" s="244">
        <v>0</v>
      </c>
      <c r="Q113" s="244">
        <v>28.963716339246</v>
      </c>
      <c r="S113" s="261"/>
      <c r="T113" s="223"/>
    </row>
    <row r="114" spans="1:20">
      <c r="A114" s="184"/>
      <c r="B114" s="239" t="s">
        <v>377</v>
      </c>
      <c r="C114" s="244">
        <v>15281177.8368816</v>
      </c>
      <c r="D114" s="244">
        <v>882238.520118</v>
      </c>
      <c r="E114" s="244">
        <v>1579578.291492</v>
      </c>
      <c r="F114" s="244">
        <v>92985.701973</v>
      </c>
      <c r="G114" s="244">
        <v>174.71421</v>
      </c>
      <c r="H114" s="244">
        <v>6981530.688532</v>
      </c>
      <c r="I114" s="244">
        <v>0</v>
      </c>
      <c r="J114" s="244">
        <v>5744669.92055659</v>
      </c>
      <c r="K114" s="244">
        <v>5.77336727270257</v>
      </c>
      <c r="L114" s="244">
        <v>10.3367574695691</v>
      </c>
      <c r="M114" s="244">
        <v>0.608498264764488</v>
      </c>
      <c r="N114" s="244">
        <v>0.00114332947279968</v>
      </c>
      <c r="O114" s="244">
        <v>45.6871241409276</v>
      </c>
      <c r="P114" s="244">
        <v>0</v>
      </c>
      <c r="Q114" s="244">
        <v>37.5931095225635</v>
      </c>
      <c r="S114" s="261"/>
      <c r="T114" s="223"/>
    </row>
    <row r="115" s="176" customFormat="1" spans="1:20">
      <c r="A115" s="184"/>
      <c r="B115" s="239" t="s">
        <v>376</v>
      </c>
      <c r="C115" s="245">
        <v>13969341.3237608</v>
      </c>
      <c r="D115" s="245">
        <v>893247.419551</v>
      </c>
      <c r="E115" s="245">
        <v>1481495.333778</v>
      </c>
      <c r="F115" s="245">
        <v>96571.363911</v>
      </c>
      <c r="G115" s="245">
        <v>0.113781</v>
      </c>
      <c r="H115" s="245">
        <v>5576903.13225</v>
      </c>
      <c r="I115" s="245">
        <v>0</v>
      </c>
      <c r="J115" s="245">
        <v>5921123.96048976</v>
      </c>
      <c r="K115" s="244">
        <v>6.39434171482127</v>
      </c>
      <c r="L115" s="244">
        <v>10.6053342061167</v>
      </c>
      <c r="M115" s="244">
        <v>0.691309358636256</v>
      </c>
      <c r="N115" s="244">
        <v>8.14505117764339e-7</v>
      </c>
      <c r="O115" s="244">
        <v>39.9224487611604</v>
      </c>
      <c r="P115" s="244">
        <v>0</v>
      </c>
      <c r="Q115" s="244">
        <v>42.3865651447602</v>
      </c>
      <c r="R115" s="262"/>
      <c r="S115" s="263"/>
      <c r="T115" s="263"/>
    </row>
    <row r="116" s="176" customFormat="1" spans="1:20">
      <c r="A116" s="184"/>
      <c r="B116" s="239" t="s">
        <v>375</v>
      </c>
      <c r="C116" s="245">
        <v>14749524.1494957</v>
      </c>
      <c r="D116" s="245">
        <v>920540.883569</v>
      </c>
      <c r="E116" s="245">
        <v>1467411.882048</v>
      </c>
      <c r="F116" s="245">
        <v>70902.494338</v>
      </c>
      <c r="G116" s="245">
        <v>56.620582</v>
      </c>
      <c r="H116" s="245">
        <v>5738795.975239</v>
      </c>
      <c r="I116" s="245">
        <v>0</v>
      </c>
      <c r="J116" s="245">
        <v>6551816.29371965</v>
      </c>
      <c r="K116" s="244">
        <v>6.24115648910936</v>
      </c>
      <c r="L116" s="244">
        <v>9.94887609372928</v>
      </c>
      <c r="M116" s="244">
        <v>0.480710385090115</v>
      </c>
      <c r="N116" s="244">
        <v>0.00038388073693846</v>
      </c>
      <c r="O116" s="244">
        <v>38.9083465817115</v>
      </c>
      <c r="P116" s="244">
        <v>0</v>
      </c>
      <c r="Q116" s="244">
        <v>44.4205265696228</v>
      </c>
      <c r="R116" s="262"/>
      <c r="S116" s="263"/>
      <c r="T116" s="263"/>
    </row>
    <row r="117" spans="1:20">
      <c r="A117" s="240">
        <v>2023</v>
      </c>
      <c r="B117" s="7" t="s">
        <v>378</v>
      </c>
      <c r="C117" s="241">
        <v>9053777.29640234</v>
      </c>
      <c r="D117" s="91">
        <v>711138.401717</v>
      </c>
      <c r="E117" s="91">
        <v>966798.662011</v>
      </c>
      <c r="F117" s="91">
        <v>58922.577401</v>
      </c>
      <c r="G117" s="91">
        <v>77.379661</v>
      </c>
      <c r="H117" s="91">
        <v>3971905.74213874</v>
      </c>
      <c r="I117" s="245">
        <v>0</v>
      </c>
      <c r="J117" s="91">
        <v>3344934.53347359</v>
      </c>
      <c r="K117" s="91">
        <v>7.85460453063698</v>
      </c>
      <c r="L117" s="91">
        <v>10.6784011839475</v>
      </c>
      <c r="M117" s="91">
        <v>0.650806569147817</v>
      </c>
      <c r="N117" s="91">
        <v>0.000854667156776079</v>
      </c>
      <c r="O117" s="91">
        <v>43.8701506797283</v>
      </c>
      <c r="P117" s="245">
        <v>0</v>
      </c>
      <c r="Q117" s="91">
        <v>36.9451823693825</v>
      </c>
      <c r="S117" s="223"/>
      <c r="T117" s="223"/>
    </row>
    <row r="118" s="176" customFormat="1" spans="1:17">
      <c r="A118" s="246"/>
      <c r="B118" s="239" t="s">
        <v>377</v>
      </c>
      <c r="C118" s="91">
        <v>9041237.09940702</v>
      </c>
      <c r="D118" s="91">
        <v>643682.559218</v>
      </c>
      <c r="E118" s="91">
        <v>950926.129533</v>
      </c>
      <c r="F118" s="91">
        <v>55362.873366</v>
      </c>
      <c r="G118" s="91">
        <v>9.529828</v>
      </c>
      <c r="H118" s="91">
        <v>3956809.334464</v>
      </c>
      <c r="I118" s="245">
        <v>0</v>
      </c>
      <c r="J118" s="91">
        <v>3434446.67299802</v>
      </c>
      <c r="K118" s="91">
        <v>7.11940802061498</v>
      </c>
      <c r="L118" s="91">
        <v>10.5176550407617</v>
      </c>
      <c r="M118" s="91">
        <v>0.612337368850011</v>
      </c>
      <c r="N118" s="91">
        <v>0.000105404027073076</v>
      </c>
      <c r="O118" s="91">
        <v>43.7640257739012</v>
      </c>
      <c r="P118" s="245">
        <v>0</v>
      </c>
      <c r="Q118" s="91">
        <v>37.9864683918451</v>
      </c>
    </row>
    <row r="119" s="176" customFormat="1" spans="1:20">
      <c r="A119" s="247"/>
      <c r="B119" s="239" t="s">
        <v>376</v>
      </c>
      <c r="C119" s="91">
        <v>6301948.75570786</v>
      </c>
      <c r="D119" s="91">
        <v>454853.486999</v>
      </c>
      <c r="E119" s="91">
        <v>567797.315857</v>
      </c>
      <c r="F119" s="91">
        <v>31626.358004</v>
      </c>
      <c r="G119" s="91">
        <v>50.033127</v>
      </c>
      <c r="H119" s="91">
        <v>3019780.10219</v>
      </c>
      <c r="I119" s="245">
        <v>0</v>
      </c>
      <c r="J119" s="91">
        <v>2227841.45953086</v>
      </c>
      <c r="K119" s="91">
        <v>7.21766400570976</v>
      </c>
      <c r="L119" s="91">
        <v>9.00986881784352</v>
      </c>
      <c r="M119" s="91">
        <v>0.50185044705981</v>
      </c>
      <c r="N119" s="91">
        <v>0.000793931035295766</v>
      </c>
      <c r="O119" s="91">
        <v>47.9181951369392</v>
      </c>
      <c r="P119" s="245">
        <v>0</v>
      </c>
      <c r="Q119" s="91">
        <v>35.3516276614125</v>
      </c>
      <c r="R119" s="262"/>
      <c r="S119" s="263"/>
      <c r="T119" s="263"/>
    </row>
    <row r="120" spans="1:20">
      <c r="A120" s="247"/>
      <c r="B120" s="129" t="s">
        <v>375</v>
      </c>
      <c r="C120" s="91">
        <v>6466102.38467316</v>
      </c>
      <c r="D120" s="91">
        <v>471391.92132</v>
      </c>
      <c r="E120" s="91">
        <v>555469.507226</v>
      </c>
      <c r="F120" s="91">
        <v>44829.168164</v>
      </c>
      <c r="G120" s="91">
        <v>69.972503</v>
      </c>
      <c r="H120" s="91">
        <v>2396228.26507</v>
      </c>
      <c r="I120" s="245">
        <v>0</v>
      </c>
      <c r="J120" s="91">
        <v>2998113.55039016</v>
      </c>
      <c r="K120" s="91">
        <v>7.29020193737355</v>
      </c>
      <c r="L120" s="91">
        <v>8.59048425435776</v>
      </c>
      <c r="M120" s="91">
        <v>0.693295056234498</v>
      </c>
      <c r="N120" s="91">
        <v>0.00108214344341126</v>
      </c>
      <c r="O120" s="91">
        <v>37.0583099758808</v>
      </c>
      <c r="P120" s="245">
        <v>0</v>
      </c>
      <c r="Q120" s="91">
        <v>46.36662663271</v>
      </c>
      <c r="S120" s="264"/>
      <c r="T120" s="264"/>
    </row>
    <row r="121" spans="1:20">
      <c r="A121" s="7">
        <v>2022</v>
      </c>
      <c r="B121" s="129" t="s">
        <v>378</v>
      </c>
      <c r="C121" s="91">
        <v>5362827.94552778</v>
      </c>
      <c r="D121" s="91">
        <v>444821.769726</v>
      </c>
      <c r="E121" s="91">
        <v>559248.844064</v>
      </c>
      <c r="F121" s="91">
        <v>34122.706028</v>
      </c>
      <c r="G121" s="91">
        <v>0.677633</v>
      </c>
      <c r="H121" s="91">
        <v>2447764.668897</v>
      </c>
      <c r="I121" s="245">
        <v>0</v>
      </c>
      <c r="J121" s="91">
        <v>1876869.27917978</v>
      </c>
      <c r="K121" s="91">
        <v>8.29453740161382</v>
      </c>
      <c r="L121" s="91">
        <v>10.4282451300787</v>
      </c>
      <c r="M121" s="91">
        <v>0.63628194629022</v>
      </c>
      <c r="N121" s="245">
        <v>1.26357400774921e-5</v>
      </c>
      <c r="O121" s="91">
        <v>45.6431698678355</v>
      </c>
      <c r="P121" s="245">
        <v>0</v>
      </c>
      <c r="Q121" s="91">
        <v>34.9977530184417</v>
      </c>
      <c r="S121" s="223"/>
      <c r="T121" s="223"/>
    </row>
    <row r="122" spans="1:20">
      <c r="A122" s="7"/>
      <c r="B122" s="129" t="s">
        <v>377</v>
      </c>
      <c r="C122" s="91">
        <v>6343531.77655599</v>
      </c>
      <c r="D122" s="91">
        <v>512909.923366</v>
      </c>
      <c r="E122" s="91">
        <v>649210.760573</v>
      </c>
      <c r="F122" s="91">
        <v>37657.296078</v>
      </c>
      <c r="G122" s="91">
        <v>4.281518</v>
      </c>
      <c r="H122" s="91">
        <v>2849955.896227</v>
      </c>
      <c r="I122" s="245">
        <v>0</v>
      </c>
      <c r="J122" s="91">
        <v>2293793.61879399</v>
      </c>
      <c r="K122" s="91">
        <v>8.08555772135609</v>
      </c>
      <c r="L122" s="91">
        <v>10.234216260606</v>
      </c>
      <c r="M122" s="91">
        <v>0.593632969841364</v>
      </c>
      <c r="N122" s="245">
        <v>6.74942311446023e-5</v>
      </c>
      <c r="O122" s="91">
        <v>44.9269586188514</v>
      </c>
      <c r="P122" s="245">
        <v>0</v>
      </c>
      <c r="Q122" s="91">
        <v>36.159566935114</v>
      </c>
      <c r="S122" s="223"/>
      <c r="T122" s="223"/>
    </row>
    <row r="123" spans="1:20">
      <c r="A123" s="7"/>
      <c r="B123" s="129" t="s">
        <v>376</v>
      </c>
      <c r="C123" s="91">
        <v>6388514.16783222</v>
      </c>
      <c r="D123" s="91">
        <v>464445.328544</v>
      </c>
      <c r="E123" s="91">
        <v>696118.888067</v>
      </c>
      <c r="F123" s="91">
        <v>38656.242782</v>
      </c>
      <c r="G123" s="91">
        <v>10.313816</v>
      </c>
      <c r="H123" s="91">
        <v>2756016.523311</v>
      </c>
      <c r="I123" s="245">
        <v>0</v>
      </c>
      <c r="J123" s="91">
        <v>2433266.87131222</v>
      </c>
      <c r="K123" s="91">
        <v>7.27000545576935</v>
      </c>
      <c r="L123" s="91">
        <v>10.8964129965014</v>
      </c>
      <c r="M123" s="91">
        <v>0.605089724566065</v>
      </c>
      <c r="N123" s="245">
        <v>0.000161443110699084</v>
      </c>
      <c r="O123" s="91">
        <v>43.140180187566</v>
      </c>
      <c r="P123" s="245">
        <v>0</v>
      </c>
      <c r="Q123" s="91">
        <v>38.0881501924866</v>
      </c>
      <c r="S123" s="223"/>
      <c r="T123" s="223"/>
    </row>
    <row r="124" spans="1:17">
      <c r="A124" s="7"/>
      <c r="B124" s="129" t="s">
        <v>375</v>
      </c>
      <c r="C124" s="91">
        <v>7495673.51955154</v>
      </c>
      <c r="D124" s="91">
        <v>443356.831503</v>
      </c>
      <c r="E124" s="91">
        <v>538528.970684</v>
      </c>
      <c r="F124" s="91">
        <v>41089.671762</v>
      </c>
      <c r="G124" s="91">
        <v>8.917304</v>
      </c>
      <c r="H124" s="91">
        <v>2972375.834208</v>
      </c>
      <c r="I124" s="245">
        <v>0</v>
      </c>
      <c r="J124" s="91">
        <v>3500313.29409054</v>
      </c>
      <c r="K124" s="91">
        <v>5.91483647662292</v>
      </c>
      <c r="L124" s="91">
        <v>7.18453077337632</v>
      </c>
      <c r="M124" s="91">
        <v>0.548178514643449</v>
      </c>
      <c r="N124" s="245">
        <v>0.000118966013884414</v>
      </c>
      <c r="O124" s="91">
        <v>39.6545530759167</v>
      </c>
      <c r="P124" s="245">
        <v>0</v>
      </c>
      <c r="Q124" s="91">
        <v>46.6977821934267</v>
      </c>
    </row>
    <row r="125" spans="1:20">
      <c r="A125" s="7">
        <v>2021</v>
      </c>
      <c r="B125" s="7" t="s">
        <v>378</v>
      </c>
      <c r="C125" s="91">
        <v>5940581.475488</v>
      </c>
      <c r="D125" s="91">
        <v>667158.928075</v>
      </c>
      <c r="E125" s="91">
        <v>543872.664153</v>
      </c>
      <c r="F125" s="91">
        <v>29809.675296</v>
      </c>
      <c r="G125" s="91">
        <v>32.64668</v>
      </c>
      <c r="H125" s="91">
        <v>3000656.845002</v>
      </c>
      <c r="I125" s="245">
        <v>0</v>
      </c>
      <c r="J125" s="91">
        <v>1700134.344304</v>
      </c>
      <c r="K125" s="91">
        <v>11.2305324121524</v>
      </c>
      <c r="L125" s="91">
        <v>9.15520923998981</v>
      </c>
      <c r="M125" s="91">
        <v>0.501797263769558</v>
      </c>
      <c r="N125" s="245">
        <v>0.000549553610782153</v>
      </c>
      <c r="O125" s="91">
        <v>50.5111638883045</v>
      </c>
      <c r="P125" s="245">
        <v>0</v>
      </c>
      <c r="Q125" s="91">
        <v>28.6189887525167</v>
      </c>
      <c r="S125" s="223"/>
      <c r="T125" s="223"/>
    </row>
    <row r="126" spans="1:20">
      <c r="A126" s="248"/>
      <c r="B126" s="7" t="s">
        <v>377</v>
      </c>
      <c r="C126" s="91">
        <v>5335861.303505</v>
      </c>
      <c r="D126" s="91">
        <v>482211.864316</v>
      </c>
      <c r="E126" s="91">
        <v>523965.287959</v>
      </c>
      <c r="F126" s="91">
        <v>29933.754431</v>
      </c>
      <c r="G126" s="91">
        <v>5.375039</v>
      </c>
      <c r="H126" s="91">
        <v>2606791.827459</v>
      </c>
      <c r="I126" s="245">
        <v>0</v>
      </c>
      <c r="J126" s="91">
        <v>1692953.194301</v>
      </c>
      <c r="K126" s="91">
        <v>9.03718887893969</v>
      </c>
      <c r="L126" s="91">
        <v>9.81969466887791</v>
      </c>
      <c r="M126" s="91">
        <v>0.560991988516216</v>
      </c>
      <c r="N126" s="245">
        <v>0.000100734233786573</v>
      </c>
      <c r="O126" s="91">
        <v>48.8541901519566</v>
      </c>
      <c r="P126" s="245">
        <v>0</v>
      </c>
      <c r="Q126" s="91">
        <v>31.7278335774758</v>
      </c>
      <c r="S126" s="223"/>
      <c r="T126" s="223"/>
    </row>
    <row r="127" spans="1:19">
      <c r="A127" s="248"/>
      <c r="B127" s="7" t="s">
        <v>376</v>
      </c>
      <c r="C127" s="91">
        <v>4692334.324428</v>
      </c>
      <c r="D127" s="91">
        <v>408492.881252</v>
      </c>
      <c r="E127" s="91">
        <v>492930.799749</v>
      </c>
      <c r="F127" s="91">
        <v>30058.486297</v>
      </c>
      <c r="G127" s="91">
        <v>0.920488</v>
      </c>
      <c r="H127" s="91">
        <v>2398243.061231</v>
      </c>
      <c r="I127" s="245">
        <v>0</v>
      </c>
      <c r="J127" s="91">
        <v>1362608.175411</v>
      </c>
      <c r="K127" s="91">
        <v>8.7055365839005</v>
      </c>
      <c r="L127" s="91">
        <v>10.5050229942661</v>
      </c>
      <c r="M127" s="91">
        <v>0.640587055796886</v>
      </c>
      <c r="N127" s="245">
        <v>1.96168460377599e-5</v>
      </c>
      <c r="O127" s="91">
        <v>51.1098079424114</v>
      </c>
      <c r="P127" s="245">
        <v>0</v>
      </c>
      <c r="Q127" s="91">
        <v>29.0390258067791</v>
      </c>
      <c r="S127" s="223"/>
    </row>
    <row r="128" spans="1:20">
      <c r="A128" s="248"/>
      <c r="B128" s="7" t="s">
        <v>375</v>
      </c>
      <c r="C128" s="91">
        <v>4875187.84904092</v>
      </c>
      <c r="D128" s="91">
        <v>409029.813043</v>
      </c>
      <c r="E128" s="91">
        <v>365859.393653</v>
      </c>
      <c r="F128" s="91">
        <v>23562.053494</v>
      </c>
      <c r="G128" s="91">
        <v>18.890794</v>
      </c>
      <c r="H128" s="91">
        <v>2378482.906982</v>
      </c>
      <c r="I128" s="245">
        <v>0</v>
      </c>
      <c r="J128" s="91">
        <v>1698234.79107492</v>
      </c>
      <c r="K128" s="91">
        <v>8.39003184510043</v>
      </c>
      <c r="L128" s="91">
        <v>7.50451890228136</v>
      </c>
      <c r="M128" s="91">
        <v>0.483305550957083</v>
      </c>
      <c r="N128" s="245">
        <v>0.000387488535517997</v>
      </c>
      <c r="O128" s="91">
        <v>48.7875130278295</v>
      </c>
      <c r="P128" s="245">
        <v>0</v>
      </c>
      <c r="Q128" s="91">
        <v>34.8342431852961</v>
      </c>
      <c r="S128" s="223"/>
      <c r="T128" s="223"/>
    </row>
    <row r="129" spans="1:20">
      <c r="A129" s="7">
        <v>2020</v>
      </c>
      <c r="B129" s="7" t="s">
        <v>378</v>
      </c>
      <c r="C129" s="91">
        <v>3506551.148252</v>
      </c>
      <c r="D129" s="91">
        <v>305322.286501</v>
      </c>
      <c r="E129" s="91">
        <v>402794.032814</v>
      </c>
      <c r="F129" s="91">
        <v>17563.174367</v>
      </c>
      <c r="G129" s="91">
        <v>14.567683</v>
      </c>
      <c r="H129" s="91">
        <v>2007713.751352</v>
      </c>
      <c r="I129" s="245">
        <v>0</v>
      </c>
      <c r="J129" s="91">
        <v>773143.335535</v>
      </c>
      <c r="K129" s="91">
        <v>8.7071961477933</v>
      </c>
      <c r="L129" s="91">
        <v>11.4869002556769</v>
      </c>
      <c r="M129" s="91">
        <v>0.500867479881341</v>
      </c>
      <c r="N129" s="245">
        <v>0.000415441908134205</v>
      </c>
      <c r="O129" s="91">
        <v>57.2560805894087</v>
      </c>
      <c r="P129" s="245">
        <v>0</v>
      </c>
      <c r="Q129" s="91">
        <v>22.0485400853317</v>
      </c>
      <c r="S129" s="223"/>
      <c r="T129" s="223"/>
    </row>
    <row r="130" spans="1:20">
      <c r="A130" s="7"/>
      <c r="B130" s="7" t="s">
        <v>377</v>
      </c>
      <c r="C130" s="91">
        <v>3184592.729006</v>
      </c>
      <c r="D130" s="91">
        <v>312657.217057</v>
      </c>
      <c r="E130" s="91">
        <v>387294.246483</v>
      </c>
      <c r="F130" s="91">
        <v>19108.276695</v>
      </c>
      <c r="G130" s="91">
        <v>6.366155</v>
      </c>
      <c r="H130" s="91">
        <v>1803744.194628</v>
      </c>
      <c r="I130" s="245">
        <v>0</v>
      </c>
      <c r="J130" s="91">
        <v>661782.427988</v>
      </c>
      <c r="K130" s="91">
        <v>9.81780854453527</v>
      </c>
      <c r="L130" s="91">
        <v>12.161500054793</v>
      </c>
      <c r="M130" s="91">
        <v>0.600022618935145</v>
      </c>
      <c r="N130" s="245">
        <v>0.000199904840013469</v>
      </c>
      <c r="O130" s="91">
        <v>56.6397133987993</v>
      </c>
      <c r="P130" s="245">
        <v>0</v>
      </c>
      <c r="Q130" s="91">
        <v>20.7807554780972</v>
      </c>
      <c r="S130" s="223"/>
      <c r="T130" s="223"/>
    </row>
    <row r="131" spans="1:20">
      <c r="A131" s="7"/>
      <c r="B131" s="7" t="s">
        <v>376</v>
      </c>
      <c r="C131" s="91">
        <v>2433232.077136</v>
      </c>
      <c r="D131" s="91">
        <v>261006.801627</v>
      </c>
      <c r="E131" s="91">
        <v>304174.802715</v>
      </c>
      <c r="F131" s="91">
        <v>15783.02501</v>
      </c>
      <c r="G131" s="91">
        <v>7.419908</v>
      </c>
      <c r="H131" s="91">
        <v>1557659.915858</v>
      </c>
      <c r="I131" s="245">
        <v>0</v>
      </c>
      <c r="J131" s="91">
        <v>294600.112018</v>
      </c>
      <c r="K131" s="91">
        <v>10.7267532792932</v>
      </c>
      <c r="L131" s="91">
        <v>12.5008545454088</v>
      </c>
      <c r="M131" s="91">
        <v>0.6486444576457</v>
      </c>
      <c r="N131" s="245">
        <v>0.000304940415249395</v>
      </c>
      <c r="O131" s="91">
        <v>64.0160850456739</v>
      </c>
      <c r="P131" s="245">
        <v>0</v>
      </c>
      <c r="Q131" s="91">
        <v>12.1073577315631</v>
      </c>
      <c r="S131" s="223"/>
      <c r="T131" s="223"/>
    </row>
    <row r="132" spans="1:20">
      <c r="A132" s="7"/>
      <c r="B132" s="7" t="s">
        <v>375</v>
      </c>
      <c r="C132" s="91">
        <v>3576567.853432</v>
      </c>
      <c r="D132" s="91">
        <v>266135.188452</v>
      </c>
      <c r="E132" s="91">
        <v>302874.788448</v>
      </c>
      <c r="F132" s="91">
        <v>21099.123612</v>
      </c>
      <c r="G132" s="91">
        <v>2.70715</v>
      </c>
      <c r="H132" s="91">
        <v>1822504.851582</v>
      </c>
      <c r="I132" s="245">
        <v>0</v>
      </c>
      <c r="J132" s="91">
        <v>1163951.194188</v>
      </c>
      <c r="K132" s="91">
        <v>7.44107757375894</v>
      </c>
      <c r="L132" s="91">
        <v>8.46830818985771</v>
      </c>
      <c r="M132" s="91">
        <v>0.589926557432811</v>
      </c>
      <c r="N132" s="245">
        <v>7.56912803262568e-5</v>
      </c>
      <c r="O132" s="91">
        <v>50.9568090490206</v>
      </c>
      <c r="P132" s="245">
        <v>0</v>
      </c>
      <c r="Q132" s="91">
        <v>32.5438029386496</v>
      </c>
      <c r="S132" s="223"/>
      <c r="T132" s="223"/>
    </row>
    <row r="133" spans="1:20">
      <c r="A133" s="7">
        <v>2020</v>
      </c>
      <c r="B133" s="7" t="s">
        <v>379</v>
      </c>
      <c r="C133" s="91">
        <v>1243317.892853</v>
      </c>
      <c r="D133" s="91">
        <v>82591.203887</v>
      </c>
      <c r="E133" s="91">
        <v>113113.809896</v>
      </c>
      <c r="F133" s="91">
        <v>7080.308311</v>
      </c>
      <c r="G133" s="91">
        <v>0.135173</v>
      </c>
      <c r="H133" s="91">
        <v>653955.131412</v>
      </c>
      <c r="I133" s="245">
        <v>0</v>
      </c>
      <c r="J133" s="91">
        <v>386577.304174</v>
      </c>
      <c r="K133" s="91">
        <v>6.64280666768824</v>
      </c>
      <c r="L133" s="91">
        <v>9.09773844213257</v>
      </c>
      <c r="M133" s="91">
        <v>0.569468866466086</v>
      </c>
      <c r="N133" s="245">
        <v>1.08719580709824e-5</v>
      </c>
      <c r="O133" s="91">
        <v>52.5975806486136</v>
      </c>
      <c r="P133" s="245">
        <v>0</v>
      </c>
      <c r="Q133" s="91">
        <v>31.0923945031414</v>
      </c>
      <c r="S133" s="223"/>
      <c r="T133" s="223"/>
    </row>
    <row r="134" spans="1:20">
      <c r="A134" s="7"/>
      <c r="B134" s="7" t="s">
        <v>380</v>
      </c>
      <c r="C134" s="91">
        <v>1104347.303325</v>
      </c>
      <c r="D134" s="91">
        <v>83639.058459</v>
      </c>
      <c r="E134" s="91">
        <v>86512.107621</v>
      </c>
      <c r="F134" s="91">
        <v>4999.505611</v>
      </c>
      <c r="G134" s="91">
        <v>2.516231</v>
      </c>
      <c r="H134" s="91">
        <v>552354.534577</v>
      </c>
      <c r="I134" s="245">
        <v>0</v>
      </c>
      <c r="J134" s="91">
        <v>376839.580826</v>
      </c>
      <c r="K134" s="91">
        <v>7.57361911485428</v>
      </c>
      <c r="L134" s="91">
        <v>7.83377723298883</v>
      </c>
      <c r="M134" s="91">
        <v>0.452711352302609</v>
      </c>
      <c r="N134" s="245">
        <v>0.000227847796832035</v>
      </c>
      <c r="O134" s="91">
        <v>50.0163791693026</v>
      </c>
      <c r="P134" s="245">
        <v>0</v>
      </c>
      <c r="Q134" s="91">
        <v>34.1232852827549</v>
      </c>
      <c r="S134" s="223"/>
      <c r="T134" s="223"/>
    </row>
    <row r="135" spans="1:20">
      <c r="A135" s="7"/>
      <c r="B135" s="7" t="s">
        <v>391</v>
      </c>
      <c r="C135" s="91">
        <v>1228902.657254</v>
      </c>
      <c r="D135" s="91">
        <v>99904.926106</v>
      </c>
      <c r="E135" s="91">
        <v>103248.870931</v>
      </c>
      <c r="F135" s="91">
        <v>9019.30969</v>
      </c>
      <c r="G135" s="91">
        <v>0.055746</v>
      </c>
      <c r="H135" s="91">
        <v>616195.185593</v>
      </c>
      <c r="I135" s="245">
        <v>0</v>
      </c>
      <c r="J135" s="91">
        <v>400534.309188</v>
      </c>
      <c r="K135" s="91">
        <v>8.12960453102436</v>
      </c>
      <c r="L135" s="91">
        <v>8.40171272488832</v>
      </c>
      <c r="M135" s="91">
        <v>0.733931986944659</v>
      </c>
      <c r="N135" s="245">
        <v>4.5362421238933e-6</v>
      </c>
      <c r="O135" s="91">
        <v>50.1419035881895</v>
      </c>
      <c r="P135" s="245">
        <v>0</v>
      </c>
      <c r="Q135" s="91">
        <v>32.592842632711</v>
      </c>
      <c r="S135" s="223"/>
      <c r="T135" s="223"/>
    </row>
    <row r="136" spans="1:20">
      <c r="A136" s="7"/>
      <c r="B136" s="7" t="s">
        <v>382</v>
      </c>
      <c r="C136" s="91">
        <v>735170.936763</v>
      </c>
      <c r="D136" s="91">
        <v>94167.927043</v>
      </c>
      <c r="E136" s="91">
        <v>95142.501595</v>
      </c>
      <c r="F136" s="91">
        <v>5177.234235</v>
      </c>
      <c r="G136" s="91">
        <v>6.792967</v>
      </c>
      <c r="H136" s="91">
        <v>468203.490484</v>
      </c>
      <c r="I136" s="245">
        <v>0</v>
      </c>
      <c r="J136" s="91">
        <v>72472.990439</v>
      </c>
      <c r="K136" s="91">
        <v>12.8089839157172</v>
      </c>
      <c r="L136" s="91">
        <v>12.9415482627643</v>
      </c>
      <c r="M136" s="91">
        <v>0.704221831428166</v>
      </c>
      <c r="N136" s="245">
        <v>0.000923998305742311</v>
      </c>
      <c r="O136" s="91">
        <v>63.6863438244073</v>
      </c>
      <c r="P136" s="245">
        <v>0</v>
      </c>
      <c r="Q136" s="91">
        <v>9.85797816737734</v>
      </c>
      <c r="S136" s="223"/>
      <c r="T136" s="223"/>
    </row>
    <row r="137" spans="1:20">
      <c r="A137" s="7"/>
      <c r="B137" s="7" t="s">
        <v>383</v>
      </c>
      <c r="C137" s="91">
        <v>749205.79949</v>
      </c>
      <c r="D137" s="91">
        <v>76046.587031</v>
      </c>
      <c r="E137" s="91">
        <v>99413.052266</v>
      </c>
      <c r="F137" s="91">
        <v>5068.470805</v>
      </c>
      <c r="G137" s="91">
        <v>0.068229</v>
      </c>
      <c r="H137" s="91">
        <v>482180.63004</v>
      </c>
      <c r="I137" s="245">
        <v>0</v>
      </c>
      <c r="J137" s="91">
        <v>86496.991119</v>
      </c>
      <c r="K137" s="91">
        <v>10.1502934284233</v>
      </c>
      <c r="L137" s="91">
        <v>13.2691247630054</v>
      </c>
      <c r="M137" s="91">
        <v>0.676512489418824</v>
      </c>
      <c r="N137" s="245">
        <v>9.10684354638537e-6</v>
      </c>
      <c r="O137" s="91">
        <v>64.3589025029211</v>
      </c>
      <c r="P137" s="245">
        <v>0</v>
      </c>
      <c r="Q137" s="91">
        <v>11.5451577093878</v>
      </c>
      <c r="S137" s="223"/>
      <c r="T137" s="223"/>
    </row>
    <row r="138" spans="1:20">
      <c r="A138" s="7"/>
      <c r="B138" s="7" t="s">
        <v>384</v>
      </c>
      <c r="C138" s="91">
        <v>948855.340883</v>
      </c>
      <c r="D138" s="91">
        <v>90792.287553</v>
      </c>
      <c r="E138" s="91">
        <v>109619.248854</v>
      </c>
      <c r="F138" s="91">
        <v>5537.31997</v>
      </c>
      <c r="G138" s="91">
        <v>0.558712</v>
      </c>
      <c r="H138" s="91">
        <v>607275.795334</v>
      </c>
      <c r="I138" s="245">
        <v>0</v>
      </c>
      <c r="J138" s="91">
        <v>135630.13046</v>
      </c>
      <c r="K138" s="91">
        <v>9.56861216257782</v>
      </c>
      <c r="L138" s="91">
        <v>11.552788305116</v>
      </c>
      <c r="M138" s="91">
        <v>0.583578943113394</v>
      </c>
      <c r="N138" s="245">
        <v>5.88827375393245e-5</v>
      </c>
      <c r="O138" s="91">
        <v>64.0008828710257</v>
      </c>
      <c r="P138" s="245">
        <v>0</v>
      </c>
      <c r="Q138" s="91">
        <v>14.2940788354296</v>
      </c>
      <c r="S138" s="223"/>
      <c r="T138" s="223"/>
    </row>
    <row r="139" spans="1:20">
      <c r="A139" s="7"/>
      <c r="B139" s="7" t="s">
        <v>385</v>
      </c>
      <c r="C139" s="91">
        <v>1010882.241735</v>
      </c>
      <c r="D139" s="91">
        <v>98085.332868</v>
      </c>
      <c r="E139" s="91">
        <v>122687.314736</v>
      </c>
      <c r="F139" s="91">
        <v>6327.405396</v>
      </c>
      <c r="G139" s="91">
        <v>0.489759</v>
      </c>
      <c r="H139" s="91">
        <v>555131.577658</v>
      </c>
      <c r="I139" s="245">
        <v>0</v>
      </c>
      <c r="J139" s="91">
        <v>228650.121318</v>
      </c>
      <c r="K139" s="91">
        <v>9.70294350998331</v>
      </c>
      <c r="L139" s="91">
        <v>12.1366574335532</v>
      </c>
      <c r="M139" s="91">
        <v>0.625929028601801</v>
      </c>
      <c r="N139" s="245">
        <v>4.84486698628136e-5</v>
      </c>
      <c r="O139" s="91">
        <v>54.9155534382734</v>
      </c>
      <c r="P139" s="245">
        <v>0</v>
      </c>
      <c r="Q139" s="91">
        <v>22.6188681409184</v>
      </c>
      <c r="S139" s="223"/>
      <c r="T139" s="223"/>
    </row>
    <row r="140" spans="1:20">
      <c r="A140" s="7"/>
      <c r="B140" s="7" t="s">
        <v>386</v>
      </c>
      <c r="C140" s="91">
        <v>1126294.634334</v>
      </c>
      <c r="D140" s="91">
        <v>102597.116601</v>
      </c>
      <c r="E140" s="91">
        <v>133731.859187</v>
      </c>
      <c r="F140" s="91">
        <v>5723.953771</v>
      </c>
      <c r="G140" s="91">
        <v>0</v>
      </c>
      <c r="H140" s="91">
        <v>622193.767534</v>
      </c>
      <c r="I140" s="245">
        <v>0</v>
      </c>
      <c r="J140" s="91">
        <v>262047.937241</v>
      </c>
      <c r="K140" s="91">
        <v>9.10926088728707</v>
      </c>
      <c r="L140" s="91">
        <v>11.8736123843898</v>
      </c>
      <c r="M140" s="91">
        <v>0.508211048557883</v>
      </c>
      <c r="N140" s="245">
        <v>0</v>
      </c>
      <c r="O140" s="91">
        <v>55.2425403235553</v>
      </c>
      <c r="P140" s="245">
        <v>0</v>
      </c>
      <c r="Q140" s="91">
        <v>23.2663753562099</v>
      </c>
      <c r="S140" s="223"/>
      <c r="T140" s="223"/>
    </row>
    <row r="141" spans="1:20">
      <c r="A141" s="7"/>
      <c r="B141" s="30" t="s">
        <v>387</v>
      </c>
      <c r="C141" s="91">
        <v>1047415.852937</v>
      </c>
      <c r="D141" s="91">
        <v>111974.767588</v>
      </c>
      <c r="E141" s="91">
        <v>130875.07256</v>
      </c>
      <c r="F141" s="91">
        <v>7056.917528</v>
      </c>
      <c r="G141" s="91">
        <v>5.876396</v>
      </c>
      <c r="H141" s="91">
        <v>626418.849436</v>
      </c>
      <c r="I141" s="245">
        <v>0</v>
      </c>
      <c r="J141" s="91">
        <v>171084.369429</v>
      </c>
      <c r="K141" s="91">
        <v>10.6905740708447</v>
      </c>
      <c r="L141" s="91">
        <v>12.4950440833047</v>
      </c>
      <c r="M141" s="91">
        <v>0.673745533659061</v>
      </c>
      <c r="N141" s="245">
        <v>0.000561037527121852</v>
      </c>
      <c r="O141" s="91">
        <v>59.8061264472458</v>
      </c>
      <c r="P141" s="245">
        <v>0</v>
      </c>
      <c r="Q141" s="91">
        <v>16.3339488274186</v>
      </c>
      <c r="S141" s="223"/>
      <c r="T141" s="223"/>
    </row>
    <row r="142" spans="1:20">
      <c r="A142" s="7"/>
      <c r="B142" s="129" t="s">
        <v>388</v>
      </c>
      <c r="C142" s="91">
        <v>1185140.948853</v>
      </c>
      <c r="D142" s="91">
        <v>80868.678434</v>
      </c>
      <c r="E142" s="91">
        <v>107273.395513</v>
      </c>
      <c r="F142" s="91">
        <v>6459.725162</v>
      </c>
      <c r="G142" s="91">
        <v>14.512969</v>
      </c>
      <c r="H142" s="91">
        <v>496765.523424</v>
      </c>
      <c r="I142" s="245">
        <v>0</v>
      </c>
      <c r="J142" s="91">
        <v>493759.113351</v>
      </c>
      <c r="K142" s="91">
        <v>6.82354942779305</v>
      </c>
      <c r="L142" s="91">
        <v>9.05153058940551</v>
      </c>
      <c r="M142" s="91">
        <v>0.5450596545712</v>
      </c>
      <c r="N142" s="245">
        <v>0.00122457746600064</v>
      </c>
      <c r="O142" s="91">
        <v>41.916155534477</v>
      </c>
      <c r="P142" s="245">
        <v>0</v>
      </c>
      <c r="Q142" s="91">
        <v>41.6624802162872</v>
      </c>
      <c r="S142" s="223"/>
      <c r="T142" s="223"/>
    </row>
    <row r="143" spans="1:20">
      <c r="A143" s="7"/>
      <c r="B143" s="129" t="s">
        <v>389</v>
      </c>
      <c r="C143" s="91">
        <v>1339819.707534</v>
      </c>
      <c r="D143" s="91">
        <v>124371.144383</v>
      </c>
      <c r="E143" s="91">
        <v>141614.749677</v>
      </c>
      <c r="F143" s="91">
        <v>4548.019919</v>
      </c>
      <c r="G143" s="91">
        <v>0</v>
      </c>
      <c r="H143" s="91">
        <v>855767.561105</v>
      </c>
      <c r="I143" s="245">
        <v>0</v>
      </c>
      <c r="J143" s="91">
        <v>213518.23245</v>
      </c>
      <c r="K143" s="91">
        <v>9.28267763816602</v>
      </c>
      <c r="L143" s="91">
        <v>10.5696870168934</v>
      </c>
      <c r="M143" s="91">
        <v>0.339450143435406</v>
      </c>
      <c r="N143" s="245">
        <v>0</v>
      </c>
      <c r="O143" s="91">
        <v>63.8718445693025</v>
      </c>
      <c r="P143" s="245">
        <v>0</v>
      </c>
      <c r="Q143" s="91">
        <v>15.9363406322027</v>
      </c>
      <c r="S143" s="223"/>
      <c r="T143" s="223"/>
    </row>
    <row r="144" spans="1:20">
      <c r="A144" s="7"/>
      <c r="B144" s="129" t="s">
        <v>390</v>
      </c>
      <c r="C144" s="91">
        <v>981590.491865</v>
      </c>
      <c r="D144" s="91">
        <v>100082.463684</v>
      </c>
      <c r="E144" s="91">
        <v>153905.887624</v>
      </c>
      <c r="F144" s="91">
        <v>6555.429286</v>
      </c>
      <c r="G144" s="91">
        <v>0.054714</v>
      </c>
      <c r="H144" s="91">
        <v>655180.666823</v>
      </c>
      <c r="I144" s="245">
        <v>0</v>
      </c>
      <c r="J144" s="91">
        <v>65865.989734</v>
      </c>
      <c r="K144" s="91">
        <v>10.1959487702296</v>
      </c>
      <c r="L144" s="91">
        <v>15.679235781062</v>
      </c>
      <c r="M144" s="91">
        <v>0.667837488273224</v>
      </c>
      <c r="N144" s="245">
        <v>5.57401487213315e-6</v>
      </c>
      <c r="O144" s="91">
        <v>66.7468432358357</v>
      </c>
      <c r="P144" s="245">
        <v>0</v>
      </c>
      <c r="Q144" s="91">
        <v>6.71012915058459</v>
      </c>
      <c r="S144" s="223"/>
      <c r="T144" s="223"/>
    </row>
    <row r="145" spans="1:19">
      <c r="A145" s="7">
        <v>2021</v>
      </c>
      <c r="B145" s="129" t="s">
        <v>379</v>
      </c>
      <c r="C145" s="91">
        <v>1315216.672655</v>
      </c>
      <c r="D145" s="91">
        <v>132405.63481</v>
      </c>
      <c r="E145" s="91">
        <v>107908.217351</v>
      </c>
      <c r="F145" s="91">
        <v>10284.615251</v>
      </c>
      <c r="G145" s="91">
        <v>0.48748</v>
      </c>
      <c r="H145" s="91">
        <v>683072.421479</v>
      </c>
      <c r="I145" s="245">
        <v>0</v>
      </c>
      <c r="J145" s="91">
        <v>381545.296284</v>
      </c>
      <c r="K145" s="91">
        <v>10.0672107921743</v>
      </c>
      <c r="L145" s="91">
        <v>8.20459621555496</v>
      </c>
      <c r="M145" s="91">
        <v>0.781971173634734</v>
      </c>
      <c r="N145" s="245">
        <v>3.70646152938386e-5</v>
      </c>
      <c r="O145" s="91">
        <v>51.9361133173667</v>
      </c>
      <c r="P145" s="245">
        <v>0</v>
      </c>
      <c r="Q145" s="91">
        <v>29.0100714366541</v>
      </c>
      <c r="S145" s="223"/>
    </row>
    <row r="146" spans="1:19">
      <c r="A146" s="7"/>
      <c r="B146" s="129" t="s">
        <v>380</v>
      </c>
      <c r="C146" s="91">
        <v>1582037.53820555</v>
      </c>
      <c r="D146" s="91">
        <v>145898.714822</v>
      </c>
      <c r="E146" s="91">
        <v>113954.049697</v>
      </c>
      <c r="F146" s="91">
        <v>5054.901981</v>
      </c>
      <c r="G146" s="91">
        <v>16.9806</v>
      </c>
      <c r="H146" s="91">
        <v>795828.362194</v>
      </c>
      <c r="I146" s="245">
        <v>0</v>
      </c>
      <c r="J146" s="91">
        <v>521284.52891155</v>
      </c>
      <c r="K146" s="91">
        <v>9.2222030956034</v>
      </c>
      <c r="L146" s="91">
        <v>7.20299278272841</v>
      </c>
      <c r="M146" s="91">
        <v>0.319518460145617</v>
      </c>
      <c r="N146" s="245">
        <v>0.00107333736336374</v>
      </c>
      <c r="O146" s="91">
        <v>50.3040125771403</v>
      </c>
      <c r="P146" s="245">
        <v>0</v>
      </c>
      <c r="Q146" s="91">
        <v>32.950199747019</v>
      </c>
      <c r="S146" s="223"/>
    </row>
    <row r="147" spans="1:19">
      <c r="A147" s="7"/>
      <c r="B147" s="129" t="s">
        <v>391</v>
      </c>
      <c r="C147" s="91">
        <v>1977933.63818037</v>
      </c>
      <c r="D147" s="91">
        <v>130725.463411</v>
      </c>
      <c r="E147" s="91">
        <v>143997.126605</v>
      </c>
      <c r="F147" s="91">
        <v>8222.536262</v>
      </c>
      <c r="G147" s="91">
        <v>1.422714</v>
      </c>
      <c r="H147" s="91">
        <v>899582.123309</v>
      </c>
      <c r="I147" s="245">
        <v>0</v>
      </c>
      <c r="J147" s="91">
        <v>795404.96587937</v>
      </c>
      <c r="K147" s="91">
        <v>6.60919359919794</v>
      </c>
      <c r="L147" s="91">
        <v>7.28017987183192</v>
      </c>
      <c r="M147" s="91">
        <v>0.415713454854049</v>
      </c>
      <c r="N147" s="245">
        <v>7.19293090797954e-5</v>
      </c>
      <c r="O147" s="91">
        <v>45.480905220692</v>
      </c>
      <c r="P147" s="245">
        <v>0</v>
      </c>
      <c r="Q147" s="91">
        <v>40.213935924115</v>
      </c>
      <c r="S147" s="223"/>
    </row>
    <row r="148" spans="1:19">
      <c r="A148" s="7"/>
      <c r="B148" s="129" t="s">
        <v>382</v>
      </c>
      <c r="C148" s="91">
        <v>1311391.773233</v>
      </c>
      <c r="D148" s="91">
        <v>144396.743145</v>
      </c>
      <c r="E148" s="91">
        <v>163079.261981</v>
      </c>
      <c r="F148" s="91">
        <v>9752.841087</v>
      </c>
      <c r="G148" s="91">
        <v>0</v>
      </c>
      <c r="H148" s="91">
        <v>837166.584966</v>
      </c>
      <c r="I148" s="245">
        <v>0</v>
      </c>
      <c r="J148" s="91">
        <v>156996.342054</v>
      </c>
      <c r="K148" s="91">
        <v>11.0109538653743</v>
      </c>
      <c r="L148" s="91">
        <v>12.4355867796057</v>
      </c>
      <c r="M148" s="91">
        <v>0.743701560896339</v>
      </c>
      <c r="N148" s="245">
        <v>0</v>
      </c>
      <c r="O148" s="91">
        <v>63.8380232401578</v>
      </c>
      <c r="P148" s="245">
        <v>0</v>
      </c>
      <c r="Q148" s="91">
        <v>11.9717345539658</v>
      </c>
      <c r="S148" s="223"/>
    </row>
    <row r="149" spans="1:19">
      <c r="A149" s="7"/>
      <c r="B149" s="129" t="s">
        <v>383</v>
      </c>
      <c r="C149" s="91">
        <v>1475773.156539</v>
      </c>
      <c r="D149" s="91">
        <v>139980.532888</v>
      </c>
      <c r="E149" s="91">
        <v>134773.346258</v>
      </c>
      <c r="F149" s="91">
        <v>8911.445684</v>
      </c>
      <c r="G149" s="91">
        <v>0.664275</v>
      </c>
      <c r="H149" s="91">
        <v>699557.879472</v>
      </c>
      <c r="I149" s="245">
        <v>0</v>
      </c>
      <c r="J149" s="91">
        <v>492549.287962</v>
      </c>
      <c r="K149" s="91">
        <v>9.48523370734591</v>
      </c>
      <c r="L149" s="91">
        <v>9.13238905727707</v>
      </c>
      <c r="M149" s="91">
        <v>0.603849287034006</v>
      </c>
      <c r="N149" s="245">
        <v>4.50119991041079e-5</v>
      </c>
      <c r="O149" s="91">
        <v>47.4028055309402</v>
      </c>
      <c r="P149" s="245">
        <v>0</v>
      </c>
      <c r="Q149" s="91">
        <v>33.3756774054037</v>
      </c>
      <c r="S149" s="223"/>
    </row>
    <row r="150" spans="1:19">
      <c r="A150" s="7"/>
      <c r="B150" s="129" t="s">
        <v>384</v>
      </c>
      <c r="C150" s="91">
        <v>1905169.394656</v>
      </c>
      <c r="D150" s="91">
        <v>124115.605219</v>
      </c>
      <c r="E150" s="91">
        <v>195078.19151</v>
      </c>
      <c r="F150" s="91">
        <v>11394.199526</v>
      </c>
      <c r="G150" s="91">
        <v>0.256213</v>
      </c>
      <c r="H150" s="91">
        <v>861518.596793</v>
      </c>
      <c r="I150" s="245">
        <v>0</v>
      </c>
      <c r="J150" s="91">
        <v>713062.545395</v>
      </c>
      <c r="K150" s="91">
        <v>6.5146755751559</v>
      </c>
      <c r="L150" s="91">
        <v>10.2394145138587</v>
      </c>
      <c r="M150" s="91">
        <v>0.598067529216075</v>
      </c>
      <c r="N150" s="245">
        <v>1.34483054744989e-5</v>
      </c>
      <c r="O150" s="91">
        <v>45.2200523066117</v>
      </c>
      <c r="P150" s="245">
        <v>0</v>
      </c>
      <c r="Q150" s="91">
        <v>37.4277766268522</v>
      </c>
      <c r="S150" s="223"/>
    </row>
    <row r="151" spans="1:17">
      <c r="A151" s="7"/>
      <c r="B151" s="129" t="s">
        <v>385</v>
      </c>
      <c r="C151" s="91">
        <v>1740754.869636</v>
      </c>
      <c r="D151" s="91">
        <v>124062.114904</v>
      </c>
      <c r="E151" s="91">
        <v>164772.264966</v>
      </c>
      <c r="F151" s="91">
        <v>12551.471529</v>
      </c>
      <c r="G151" s="91">
        <v>1.955446</v>
      </c>
      <c r="H151" s="91">
        <v>824291.74296</v>
      </c>
      <c r="I151" s="245">
        <v>0</v>
      </c>
      <c r="J151" s="91">
        <v>615075.319831</v>
      </c>
      <c r="K151" s="91">
        <v>7.12691471200319</v>
      </c>
      <c r="L151" s="91">
        <v>9.46556392517544</v>
      </c>
      <c r="M151" s="91">
        <v>0.721036129091776</v>
      </c>
      <c r="N151" s="245">
        <v>0.000112333220151146</v>
      </c>
      <c r="O151" s="91">
        <v>47.3525455730802</v>
      </c>
      <c r="P151" s="245">
        <v>0</v>
      </c>
      <c r="Q151" s="91">
        <v>35.3338273274292</v>
      </c>
    </row>
    <row r="152" spans="1:17">
      <c r="A152" s="7"/>
      <c r="B152" s="129" t="s">
        <v>386</v>
      </c>
      <c r="C152" s="91">
        <v>2005917.773928</v>
      </c>
      <c r="D152" s="91">
        <v>196503.886934</v>
      </c>
      <c r="E152" s="91">
        <v>178901.458383</v>
      </c>
      <c r="F152" s="91">
        <v>7328.921195</v>
      </c>
      <c r="G152" s="91">
        <v>3.419593</v>
      </c>
      <c r="H152" s="91">
        <v>918445.907618</v>
      </c>
      <c r="I152" s="245">
        <v>0</v>
      </c>
      <c r="J152" s="91">
        <v>704734.180205</v>
      </c>
      <c r="K152" s="91">
        <v>9.79620847315216</v>
      </c>
      <c r="L152" s="91">
        <v>8.91868354267952</v>
      </c>
      <c r="M152" s="91">
        <v>0.365364986055658</v>
      </c>
      <c r="N152" s="245">
        <v>0.000170475233055228</v>
      </c>
      <c r="O152" s="91">
        <v>45.786817363879</v>
      </c>
      <c r="P152" s="245">
        <v>0</v>
      </c>
      <c r="Q152" s="91">
        <v>35.1327551590006</v>
      </c>
    </row>
    <row r="153" spans="1:17">
      <c r="A153" s="7"/>
      <c r="B153" s="129" t="s">
        <v>387</v>
      </c>
      <c r="C153" s="91">
        <v>1589188.659941</v>
      </c>
      <c r="D153" s="91">
        <v>161645.862478</v>
      </c>
      <c r="E153" s="91">
        <v>180291.56461</v>
      </c>
      <c r="F153" s="91">
        <v>10053.361707</v>
      </c>
      <c r="G153" s="91">
        <v>0</v>
      </c>
      <c r="H153" s="91">
        <v>864054.176881</v>
      </c>
      <c r="I153" s="245">
        <v>0</v>
      </c>
      <c r="J153" s="91">
        <v>373143.694265</v>
      </c>
      <c r="K153" s="91">
        <v>10.1715967746712</v>
      </c>
      <c r="L153" s="91">
        <v>11.3448811431044</v>
      </c>
      <c r="M153" s="91">
        <v>0.632609705846582</v>
      </c>
      <c r="N153" s="245">
        <v>0</v>
      </c>
      <c r="O153" s="91">
        <v>54.3707741353427</v>
      </c>
      <c r="P153" s="245">
        <v>0</v>
      </c>
      <c r="Q153" s="91">
        <v>23.4801382410351</v>
      </c>
    </row>
    <row r="154" spans="1:17">
      <c r="A154" s="7"/>
      <c r="B154" s="129" t="s">
        <v>388</v>
      </c>
      <c r="C154" s="91">
        <v>2084494.290728</v>
      </c>
      <c r="D154" s="91">
        <v>208125.711515</v>
      </c>
      <c r="E154" s="91">
        <v>149308.241674</v>
      </c>
      <c r="F154" s="91">
        <v>9084.723615</v>
      </c>
      <c r="G154" s="91">
        <v>7.027382</v>
      </c>
      <c r="H154" s="91">
        <v>904592.234594</v>
      </c>
      <c r="I154" s="245">
        <v>0</v>
      </c>
      <c r="J154" s="91">
        <v>813551.791997</v>
      </c>
      <c r="K154" s="91">
        <v>9.98447021134863</v>
      </c>
      <c r="L154" s="91">
        <v>7.16280405938914</v>
      </c>
      <c r="M154" s="91">
        <v>0.435823866508514</v>
      </c>
      <c r="N154" s="245">
        <v>0.00033712646905575</v>
      </c>
      <c r="O154" s="91">
        <v>43.3962442889721</v>
      </c>
      <c r="P154" s="245">
        <v>0</v>
      </c>
      <c r="Q154" s="91">
        <v>39.0287368795273</v>
      </c>
    </row>
    <row r="155" spans="1:17">
      <c r="A155" s="7"/>
      <c r="B155" s="129" t="s">
        <v>389</v>
      </c>
      <c r="C155" s="91">
        <v>2215736.477161</v>
      </c>
      <c r="D155" s="91">
        <v>159821.80382</v>
      </c>
      <c r="E155" s="91">
        <v>208187.090753</v>
      </c>
      <c r="F155" s="91">
        <v>10700.01063</v>
      </c>
      <c r="G155" s="91">
        <v>7.754396</v>
      </c>
      <c r="H155" s="91">
        <v>1033557.727238</v>
      </c>
      <c r="I155" s="245">
        <v>0</v>
      </c>
      <c r="J155" s="91">
        <v>803741.199447</v>
      </c>
      <c r="K155" s="91">
        <v>7.21303302389001</v>
      </c>
      <c r="L155" s="91">
        <v>9.39584164899194</v>
      </c>
      <c r="M155" s="91">
        <v>0.482909892051324</v>
      </c>
      <c r="N155" s="245">
        <v>0.000349969235057033</v>
      </c>
      <c r="O155" s="91">
        <v>46.6462387513829</v>
      </c>
      <c r="P155" s="245">
        <v>0</v>
      </c>
      <c r="Q155" s="91">
        <v>36.274223389454</v>
      </c>
    </row>
    <row r="156" spans="1:17">
      <c r="A156" s="248"/>
      <c r="B156" s="129" t="s">
        <v>390</v>
      </c>
      <c r="C156" s="91">
        <v>1640350.707599</v>
      </c>
      <c r="D156" s="91">
        <v>299211.41274</v>
      </c>
      <c r="E156" s="91">
        <v>186377.331726</v>
      </c>
      <c r="F156" s="91">
        <v>10024.941051</v>
      </c>
      <c r="G156" s="91">
        <v>17.864902</v>
      </c>
      <c r="H156" s="91">
        <v>1062506.88317</v>
      </c>
      <c r="I156" s="245">
        <v>0</v>
      </c>
      <c r="J156" s="91">
        <v>82841.35286</v>
      </c>
      <c r="K156" s="91">
        <v>18.2406976358098</v>
      </c>
      <c r="L156" s="91">
        <v>11.3620417184324</v>
      </c>
      <c r="M156" s="91">
        <v>0.611146202123668</v>
      </c>
      <c r="N156" s="245">
        <v>0.00108909039495274</v>
      </c>
      <c r="O156" s="91">
        <v>64.77315358526</v>
      </c>
      <c r="P156" s="245">
        <v>0</v>
      </c>
      <c r="Q156" s="91">
        <v>5.05022203338796</v>
      </c>
    </row>
    <row r="157" spans="1:17">
      <c r="A157" s="7">
        <v>2022</v>
      </c>
      <c r="B157" s="129" t="s">
        <v>379</v>
      </c>
      <c r="C157" s="91">
        <v>2054609.27059817</v>
      </c>
      <c r="D157" s="91">
        <v>114359.319828</v>
      </c>
      <c r="E157" s="91">
        <v>174592.121105</v>
      </c>
      <c r="F157" s="91">
        <v>15892.641753</v>
      </c>
      <c r="G157" s="91">
        <v>8.881967</v>
      </c>
      <c r="H157" s="91">
        <v>1010428.441354</v>
      </c>
      <c r="I157" s="245">
        <v>0</v>
      </c>
      <c r="J157" s="91">
        <v>739327.864591168</v>
      </c>
      <c r="K157" s="91">
        <v>5.56598869987119</v>
      </c>
      <c r="L157" s="91">
        <v>8.49758265980033</v>
      </c>
      <c r="M157" s="91">
        <v>0.773511634568508</v>
      </c>
      <c r="N157" s="245">
        <v>0.000432294700851523</v>
      </c>
      <c r="O157" s="91">
        <v>49.1786178429843</v>
      </c>
      <c r="P157" s="245">
        <v>0</v>
      </c>
      <c r="Q157" s="91">
        <v>35.9838668680748</v>
      </c>
    </row>
    <row r="158" spans="1:17">
      <c r="A158" s="248"/>
      <c r="B158" s="129" t="s">
        <v>380</v>
      </c>
      <c r="C158" s="91">
        <v>2013613.55912089</v>
      </c>
      <c r="D158" s="91">
        <v>158477.102287</v>
      </c>
      <c r="E158" s="91">
        <v>142431.838075</v>
      </c>
      <c r="F158" s="91">
        <v>11768.814717</v>
      </c>
      <c r="G158" s="91">
        <v>0</v>
      </c>
      <c r="H158" s="91">
        <v>871329.047681</v>
      </c>
      <c r="I158" s="245">
        <v>0</v>
      </c>
      <c r="J158" s="91">
        <v>829606.756360892</v>
      </c>
      <c r="K158" s="91">
        <v>7.8702838272597</v>
      </c>
      <c r="L158" s="91">
        <v>7.07344452612761</v>
      </c>
      <c r="M158" s="91">
        <v>0.584462428934877</v>
      </c>
      <c r="N158" s="245">
        <v>0</v>
      </c>
      <c r="O158" s="91">
        <v>43.2719100313074</v>
      </c>
      <c r="P158" s="245">
        <v>0</v>
      </c>
      <c r="Q158" s="91">
        <v>41.1998991863704</v>
      </c>
    </row>
    <row r="159" spans="1:17">
      <c r="A159" s="248"/>
      <c r="B159" s="129" t="s">
        <v>391</v>
      </c>
      <c r="C159" s="91">
        <v>3427450.68983248</v>
      </c>
      <c r="D159" s="91">
        <v>170520.409388</v>
      </c>
      <c r="E159" s="91">
        <v>221505.011504</v>
      </c>
      <c r="F159" s="91">
        <v>13428.215292</v>
      </c>
      <c r="G159" s="91">
        <v>0.035337</v>
      </c>
      <c r="H159" s="91">
        <v>1090618.345173</v>
      </c>
      <c r="I159" s="245">
        <v>0</v>
      </c>
      <c r="J159" s="91">
        <v>1931378.67313848</v>
      </c>
      <c r="K159" s="91">
        <v>4.97513822427404</v>
      </c>
      <c r="L159" s="91">
        <v>6.46267536863751</v>
      </c>
      <c r="M159" s="91">
        <v>0.391784346652594</v>
      </c>
      <c r="N159" s="245">
        <v>1.03099951531986e-6</v>
      </c>
      <c r="O159" s="91">
        <v>31.8201031573792</v>
      </c>
      <c r="P159" s="245">
        <v>0</v>
      </c>
      <c r="Q159" s="91">
        <v>56.3502978720572</v>
      </c>
    </row>
    <row r="160" spans="1:17">
      <c r="A160" s="7"/>
      <c r="B160" s="129" t="s">
        <v>382</v>
      </c>
      <c r="C160" s="91">
        <v>1713699.188916</v>
      </c>
      <c r="D160" s="91">
        <v>133755.408821</v>
      </c>
      <c r="E160" s="91">
        <v>206540.80116</v>
      </c>
      <c r="F160" s="91">
        <v>15778.469945</v>
      </c>
      <c r="G160" s="91">
        <v>4.634068</v>
      </c>
      <c r="H160" s="91">
        <v>922052.110341</v>
      </c>
      <c r="I160" s="245">
        <v>0</v>
      </c>
      <c r="J160" s="91">
        <v>435567.764581</v>
      </c>
      <c r="K160" s="91">
        <v>7.80506927272382</v>
      </c>
      <c r="L160" s="91">
        <v>12.0523369851536</v>
      </c>
      <c r="M160" s="91">
        <v>0.9207257637194</v>
      </c>
      <c r="N160" s="245">
        <v>0.000270413152434954</v>
      </c>
      <c r="O160" s="91">
        <v>53.804781860476</v>
      </c>
      <c r="P160" s="245">
        <v>0</v>
      </c>
      <c r="Q160" s="91">
        <v>25.4168157047748</v>
      </c>
    </row>
    <row r="161" spans="1:17">
      <c r="A161" s="248"/>
      <c r="B161" s="129" t="s">
        <v>383</v>
      </c>
      <c r="C161" s="91">
        <v>2051813.964796</v>
      </c>
      <c r="D161" s="91">
        <v>115225.703409</v>
      </c>
      <c r="E161" s="91">
        <v>260055.882817</v>
      </c>
      <c r="F161" s="91">
        <v>14066.34002</v>
      </c>
      <c r="G161" s="91">
        <v>0.493453</v>
      </c>
      <c r="H161" s="91">
        <v>889577.641092</v>
      </c>
      <c r="I161" s="245">
        <v>0</v>
      </c>
      <c r="J161" s="91">
        <v>772887.904005</v>
      </c>
      <c r="K161" s="91">
        <v>5.61579682105615</v>
      </c>
      <c r="L161" s="91">
        <v>12.6744377062886</v>
      </c>
      <c r="M161" s="91">
        <v>0.685556305851468</v>
      </c>
      <c r="N161" s="245">
        <v>2.40495975008661e-5</v>
      </c>
      <c r="O161" s="91">
        <v>43.3556675388183</v>
      </c>
      <c r="P161" s="245">
        <v>0</v>
      </c>
      <c r="Q161" s="91">
        <v>37.6685175783879</v>
      </c>
    </row>
    <row r="162" spans="1:17">
      <c r="A162" s="248"/>
      <c r="B162" s="129" t="s">
        <v>384</v>
      </c>
      <c r="C162" s="91">
        <v>2623001.01412022</v>
      </c>
      <c r="D162" s="91">
        <v>215464.216314</v>
      </c>
      <c r="E162" s="91">
        <v>229522.20409</v>
      </c>
      <c r="F162" s="91">
        <v>8811.432817</v>
      </c>
      <c r="G162" s="91">
        <v>5.186295</v>
      </c>
      <c r="H162" s="91">
        <v>944386.771878</v>
      </c>
      <c r="I162" s="245">
        <v>0</v>
      </c>
      <c r="J162" s="91">
        <v>1224811.20272622</v>
      </c>
      <c r="K162" s="91">
        <v>8.21441605070325</v>
      </c>
      <c r="L162" s="91">
        <v>8.75036657837451</v>
      </c>
      <c r="M162" s="91">
        <v>0.335929447589461</v>
      </c>
      <c r="N162" s="245">
        <v>0.000197723713108801</v>
      </c>
      <c r="O162" s="91">
        <v>36.0040566814175</v>
      </c>
      <c r="P162" s="245">
        <v>0</v>
      </c>
      <c r="Q162" s="91">
        <v>46.6950335182021</v>
      </c>
    </row>
    <row r="163" spans="1:17">
      <c r="A163" s="248"/>
      <c r="B163" s="129" t="s">
        <v>385</v>
      </c>
      <c r="C163" s="91">
        <v>2362266.1496404</v>
      </c>
      <c r="D163" s="91">
        <v>141895.412093</v>
      </c>
      <c r="E163" s="91">
        <v>249478.261466</v>
      </c>
      <c r="F163" s="91">
        <v>16372.543225</v>
      </c>
      <c r="G163" s="91">
        <v>3.842438</v>
      </c>
      <c r="H163" s="91">
        <v>881360.042162</v>
      </c>
      <c r="I163" s="245">
        <v>0</v>
      </c>
      <c r="J163" s="91">
        <v>1073156.0482564</v>
      </c>
      <c r="K163" s="91">
        <v>6.00674958300529</v>
      </c>
      <c r="L163" s="91">
        <v>10.5609717814386</v>
      </c>
      <c r="M163" s="91">
        <v>0.69308630729405</v>
      </c>
      <c r="N163" s="245">
        <v>0.000162658978988668</v>
      </c>
      <c r="O163" s="91">
        <v>37.3099382682246</v>
      </c>
      <c r="P163" s="245">
        <v>0</v>
      </c>
      <c r="Q163" s="91">
        <v>45.4290914010585</v>
      </c>
    </row>
    <row r="164" spans="1:17">
      <c r="A164" s="248"/>
      <c r="B164" s="129" t="s">
        <v>386</v>
      </c>
      <c r="C164" s="91">
        <v>2174999.34905942</v>
      </c>
      <c r="D164" s="91">
        <v>179639.621167</v>
      </c>
      <c r="E164" s="91">
        <v>187155.762116</v>
      </c>
      <c r="F164" s="91">
        <v>10041.684537</v>
      </c>
      <c r="G164" s="91">
        <v>0.43908</v>
      </c>
      <c r="H164" s="91">
        <v>1064158.103372</v>
      </c>
      <c r="I164" s="245">
        <v>0</v>
      </c>
      <c r="J164" s="91">
        <v>734003.738787415</v>
      </c>
      <c r="K164" s="91">
        <v>8.25929539908532</v>
      </c>
      <c r="L164" s="91">
        <v>8.6048652013131</v>
      </c>
      <c r="M164" s="91">
        <v>0.461686783554329</v>
      </c>
      <c r="N164" s="245">
        <v>2.01875922487003e-5</v>
      </c>
      <c r="O164" s="91">
        <v>48.9268239934048</v>
      </c>
      <c r="P164" s="245">
        <v>0</v>
      </c>
      <c r="Q164" s="91">
        <v>33.7473084350502</v>
      </c>
    </row>
    <row r="165" spans="1:17">
      <c r="A165" s="248"/>
      <c r="B165" s="129" t="s">
        <v>387</v>
      </c>
      <c r="C165" s="91">
        <v>1806266.27785618</v>
      </c>
      <c r="D165" s="91">
        <v>191374.890106</v>
      </c>
      <c r="E165" s="91">
        <v>212576.736991</v>
      </c>
      <c r="F165" s="91">
        <v>11243.068316</v>
      </c>
      <c r="G165" s="91">
        <v>0</v>
      </c>
      <c r="H165" s="91">
        <v>904437.750693</v>
      </c>
      <c r="I165" s="245">
        <v>0</v>
      </c>
      <c r="J165" s="91">
        <v>486633.831750176</v>
      </c>
      <c r="K165" s="91">
        <v>10.5950541430214</v>
      </c>
      <c r="L165" s="91">
        <v>11.7688482366677</v>
      </c>
      <c r="M165" s="91">
        <v>0.622447999712655</v>
      </c>
      <c r="N165" s="245">
        <v>0</v>
      </c>
      <c r="O165" s="91">
        <v>50.0722269900571</v>
      </c>
      <c r="P165" s="245">
        <v>0</v>
      </c>
      <c r="Q165" s="91">
        <v>26.9414226305411</v>
      </c>
    </row>
    <row r="166" spans="1:17">
      <c r="A166" s="248"/>
      <c r="B166" s="129" t="s">
        <v>388</v>
      </c>
      <c r="C166" s="91">
        <v>2187190.32255878</v>
      </c>
      <c r="D166" s="91">
        <v>158305.512193</v>
      </c>
      <c r="E166" s="91">
        <v>178701.799134</v>
      </c>
      <c r="F166" s="91">
        <v>13228.259046</v>
      </c>
      <c r="G166" s="91">
        <v>0.559928</v>
      </c>
      <c r="H166" s="91">
        <v>795392.581003</v>
      </c>
      <c r="I166" s="245">
        <v>0</v>
      </c>
      <c r="J166" s="91">
        <v>1041561.61125478</v>
      </c>
      <c r="K166" s="91">
        <v>7.23784805374409</v>
      </c>
      <c r="L166" s="91">
        <v>8.17038175831619</v>
      </c>
      <c r="M166" s="91">
        <v>0.604806034004591</v>
      </c>
      <c r="N166" s="245">
        <v>2.56003327293869e-5</v>
      </c>
      <c r="O166" s="91">
        <v>36.3659519155367</v>
      </c>
      <c r="P166" s="245">
        <v>0</v>
      </c>
      <c r="Q166" s="91">
        <v>47.6209866380657</v>
      </c>
    </row>
    <row r="167" spans="1:17">
      <c r="A167" s="248"/>
      <c r="B167" s="129" t="s">
        <v>389</v>
      </c>
      <c r="C167" s="91">
        <v>1939908.763047</v>
      </c>
      <c r="D167" s="91">
        <v>147337.057507</v>
      </c>
      <c r="E167" s="91">
        <v>200381.969378</v>
      </c>
      <c r="F167" s="91">
        <v>10293.557758</v>
      </c>
      <c r="G167" s="91">
        <v>0.117705</v>
      </c>
      <c r="H167" s="91">
        <v>848226.338736</v>
      </c>
      <c r="I167" s="245">
        <v>0</v>
      </c>
      <c r="J167" s="91">
        <v>733669.721963</v>
      </c>
      <c r="K167" s="91">
        <v>7.59505087628857</v>
      </c>
      <c r="L167" s="91">
        <v>10.3294532812596</v>
      </c>
      <c r="M167" s="91">
        <v>0.530620715472824</v>
      </c>
      <c r="N167" s="245">
        <v>6.06755339437313e-6</v>
      </c>
      <c r="O167" s="91">
        <v>43.7250635129715</v>
      </c>
      <c r="P167" s="245">
        <v>0</v>
      </c>
      <c r="Q167" s="91">
        <v>37.8198055464542</v>
      </c>
    </row>
    <row r="168" spans="1:17">
      <c r="A168" s="248"/>
      <c r="B168" s="129" t="s">
        <v>390</v>
      </c>
      <c r="C168" s="91">
        <v>1235728.859922</v>
      </c>
      <c r="D168" s="91">
        <v>139179.200026</v>
      </c>
      <c r="E168" s="91">
        <v>180165.075552</v>
      </c>
      <c r="F168" s="91">
        <v>10600.889224</v>
      </c>
      <c r="G168" s="91">
        <v>0</v>
      </c>
      <c r="H168" s="91">
        <v>804145.749158</v>
      </c>
      <c r="I168" s="245">
        <v>0</v>
      </c>
      <c r="J168" s="91">
        <v>101637.945962</v>
      </c>
      <c r="K168" s="91">
        <v>11.2629238128164</v>
      </c>
      <c r="L168" s="91">
        <v>14.579660748829</v>
      </c>
      <c r="M168" s="91">
        <v>0.857865310734034</v>
      </c>
      <c r="N168" s="245">
        <v>0</v>
      </c>
      <c r="O168" s="91">
        <v>65.0746110444291</v>
      </c>
      <c r="P168" s="245">
        <v>0</v>
      </c>
      <c r="Q168" s="91">
        <v>8.22493908319139</v>
      </c>
    </row>
    <row r="169" spans="1:17">
      <c r="A169" s="7">
        <v>2023</v>
      </c>
      <c r="B169" s="265" t="s">
        <v>379</v>
      </c>
      <c r="C169" s="91">
        <v>2317542.66250415</v>
      </c>
      <c r="D169" s="91">
        <v>146983.751381</v>
      </c>
      <c r="E169" s="91">
        <v>186520.922934</v>
      </c>
      <c r="F169" s="239">
        <v>17886.193549</v>
      </c>
      <c r="G169" s="91">
        <v>1.002654</v>
      </c>
      <c r="H169" s="91">
        <v>878648.557782</v>
      </c>
      <c r="I169" s="245">
        <v>0</v>
      </c>
      <c r="J169" s="239">
        <v>1087502.23420415</v>
      </c>
      <c r="K169" s="91">
        <v>6.34222419112585</v>
      </c>
      <c r="L169" s="91">
        <v>8.0482196056948</v>
      </c>
      <c r="M169" s="91">
        <v>0.771774079432637</v>
      </c>
      <c r="N169" s="239">
        <v>4.32636695851206e-5</v>
      </c>
      <c r="O169" s="91">
        <v>37.9129399427152</v>
      </c>
      <c r="P169" s="245">
        <v>0</v>
      </c>
      <c r="Q169" s="91">
        <v>46.9247989173619</v>
      </c>
    </row>
    <row r="170" spans="1:17">
      <c r="A170" s="248"/>
      <c r="B170" s="265" t="s">
        <v>380</v>
      </c>
      <c r="C170" s="91">
        <v>1944656.29477803</v>
      </c>
      <c r="D170" s="91">
        <v>156539.960518</v>
      </c>
      <c r="E170" s="91">
        <v>171166.475224</v>
      </c>
      <c r="F170" s="265">
        <v>9835.898425</v>
      </c>
      <c r="G170" s="91">
        <v>54.71932</v>
      </c>
      <c r="H170" s="91">
        <v>728228.425181</v>
      </c>
      <c r="I170" s="245">
        <v>0</v>
      </c>
      <c r="J170" s="265">
        <v>878830.816110032</v>
      </c>
      <c r="K170" s="91">
        <v>8.04974950783618</v>
      </c>
      <c r="L170" s="91">
        <v>8.80188831741793</v>
      </c>
      <c r="M170" s="91">
        <v>0.505791097964831</v>
      </c>
      <c r="N170" s="265">
        <v>0.0028138298858743</v>
      </c>
      <c r="O170" s="91">
        <v>37.4476675974312</v>
      </c>
      <c r="P170" s="245">
        <v>0</v>
      </c>
      <c r="Q170" s="91">
        <v>45.1920896494639</v>
      </c>
    </row>
    <row r="171" spans="1:17">
      <c r="A171" s="248"/>
      <c r="B171" s="265" t="s">
        <v>391</v>
      </c>
      <c r="C171" s="91">
        <v>2203903.42739098</v>
      </c>
      <c r="D171" s="91">
        <v>167868.209421</v>
      </c>
      <c r="E171" s="91">
        <v>197782.109068</v>
      </c>
      <c r="F171" s="265">
        <v>17107.07619</v>
      </c>
      <c r="G171" s="91">
        <v>14.250529</v>
      </c>
      <c r="H171" s="91">
        <v>789351.282107</v>
      </c>
      <c r="I171" s="245">
        <v>0</v>
      </c>
      <c r="J171" s="265">
        <v>1031780.50007598</v>
      </c>
      <c r="K171" s="91">
        <v>7.61685867605029</v>
      </c>
      <c r="L171" s="91">
        <v>8.97417312437041</v>
      </c>
      <c r="M171" s="91">
        <v>0.77621714170351</v>
      </c>
      <c r="N171" s="265">
        <v>0.000646604058185526</v>
      </c>
      <c r="O171" s="91">
        <v>35.8160558351437</v>
      </c>
      <c r="P171" s="245">
        <v>0</v>
      </c>
      <c r="Q171" s="91">
        <v>46.816048618674</v>
      </c>
    </row>
    <row r="172" s="176" customFormat="1" spans="1:20">
      <c r="A172" s="266"/>
      <c r="B172" s="265" t="s">
        <v>382</v>
      </c>
      <c r="C172" s="91">
        <v>1934419.19922668</v>
      </c>
      <c r="D172" s="91">
        <v>111664.898711</v>
      </c>
      <c r="E172" s="91">
        <v>168769.105416</v>
      </c>
      <c r="F172" s="91">
        <v>6602.049067</v>
      </c>
      <c r="G172" s="91">
        <v>29.916367</v>
      </c>
      <c r="H172" s="91">
        <v>734938.374581</v>
      </c>
      <c r="I172" s="245">
        <v>0</v>
      </c>
      <c r="J172" s="91">
        <v>912414.855084682</v>
      </c>
      <c r="K172" s="91">
        <v>5.77252845482717</v>
      </c>
      <c r="L172" s="91">
        <v>8.72453630957904</v>
      </c>
      <c r="M172" s="91">
        <v>0.34129360738558</v>
      </c>
      <c r="N172" s="91">
        <v>0.00154652967732948</v>
      </c>
      <c r="O172" s="91">
        <v>37.9927150679028</v>
      </c>
      <c r="P172" s="245">
        <v>0</v>
      </c>
      <c r="Q172" s="91">
        <v>47.1673800306281</v>
      </c>
      <c r="R172" s="262"/>
      <c r="S172" s="263"/>
      <c r="T172" s="263"/>
    </row>
    <row r="173" s="176" customFormat="1" spans="1:17">
      <c r="A173" s="266"/>
      <c r="B173" s="265" t="s">
        <v>383</v>
      </c>
      <c r="C173" s="91">
        <v>2645166.1645242</v>
      </c>
      <c r="D173" s="91">
        <v>181475.044799</v>
      </c>
      <c r="E173" s="91">
        <v>189867.981447</v>
      </c>
      <c r="F173" s="91">
        <v>15703.506561</v>
      </c>
      <c r="G173" s="91">
        <v>20.035382</v>
      </c>
      <c r="H173" s="91">
        <v>1482366.842168</v>
      </c>
      <c r="I173" s="245">
        <v>0</v>
      </c>
      <c r="J173" s="91">
        <v>775732.754167199</v>
      </c>
      <c r="K173" s="91">
        <v>6.86062929553777</v>
      </c>
      <c r="L173" s="91">
        <v>7.17792265731452</v>
      </c>
      <c r="M173" s="91">
        <v>0.593668056533026</v>
      </c>
      <c r="N173" s="91">
        <v>0.000757433777458131</v>
      </c>
      <c r="O173" s="91">
        <v>56.0405944264996</v>
      </c>
      <c r="P173" s="245">
        <v>0</v>
      </c>
      <c r="Q173" s="91">
        <v>29.3264281303377</v>
      </c>
    </row>
    <row r="174" s="176" customFormat="1" spans="1:17">
      <c r="A174" s="266"/>
      <c r="B174" s="265" t="s">
        <v>384</v>
      </c>
      <c r="C174" s="91">
        <v>1722363.39195698</v>
      </c>
      <c r="D174" s="91">
        <v>161713.543489</v>
      </c>
      <c r="E174" s="91">
        <v>209160.228994</v>
      </c>
      <c r="F174" s="91">
        <v>9320.802376</v>
      </c>
      <c r="G174" s="91">
        <v>0.081378</v>
      </c>
      <c r="H174" s="91">
        <v>802474.885441</v>
      </c>
      <c r="I174" s="245">
        <v>0</v>
      </c>
      <c r="J174" s="91">
        <v>539693.850278976</v>
      </c>
      <c r="K174" s="91">
        <v>9.3890490383251</v>
      </c>
      <c r="L174" s="91">
        <v>12.143792069126</v>
      </c>
      <c r="M174" s="91">
        <v>0.541163520980875</v>
      </c>
      <c r="N174" s="91">
        <v>4.72478690501759e-6</v>
      </c>
      <c r="O174" s="91">
        <v>46.591496846041</v>
      </c>
      <c r="P174" s="245">
        <v>0</v>
      </c>
      <c r="Q174" s="91">
        <v>31.3344938007401</v>
      </c>
    </row>
    <row r="175" s="176" customFormat="1" spans="1:20">
      <c r="A175" s="266"/>
      <c r="B175" s="265" t="s">
        <v>385</v>
      </c>
      <c r="C175" s="91">
        <v>2864333.552654</v>
      </c>
      <c r="D175" s="91">
        <v>213912.438312</v>
      </c>
      <c r="E175" s="91">
        <v>334883.84349</v>
      </c>
      <c r="F175" s="91">
        <v>18296.395453</v>
      </c>
      <c r="G175" s="91">
        <v>0.849862</v>
      </c>
      <c r="H175" s="91">
        <v>1337922.797036</v>
      </c>
      <c r="I175" s="245">
        <v>0</v>
      </c>
      <c r="J175" s="91">
        <v>959317.228501</v>
      </c>
      <c r="K175" s="91">
        <v>7.46813994877781</v>
      </c>
      <c r="L175" s="91">
        <v>11.6915099912057</v>
      </c>
      <c r="M175" s="91">
        <v>0.638766230142685</v>
      </c>
      <c r="N175" s="91">
        <v>2.96704969717142e-5</v>
      </c>
      <c r="O175" s="91">
        <v>46.7097414613715</v>
      </c>
      <c r="P175" s="245">
        <v>0</v>
      </c>
      <c r="Q175" s="91">
        <v>33.4918126980053</v>
      </c>
      <c r="R175" s="262"/>
      <c r="S175" s="263"/>
      <c r="T175" s="263"/>
    </row>
    <row r="176" s="176" customFormat="1" spans="1:17">
      <c r="A176" s="266"/>
      <c r="B176" s="265" t="s">
        <v>386</v>
      </c>
      <c r="C176" s="91">
        <v>3485482.72462086</v>
      </c>
      <c r="D176" s="91">
        <v>262714.293553</v>
      </c>
      <c r="E176" s="91">
        <v>371850.823173</v>
      </c>
      <c r="F176" s="91">
        <v>17269.546378</v>
      </c>
      <c r="G176" s="91">
        <v>8.679966</v>
      </c>
      <c r="H176" s="91">
        <v>1523048.621236</v>
      </c>
      <c r="I176" s="245">
        <v>0</v>
      </c>
      <c r="J176" s="91">
        <v>1310590.76031486</v>
      </c>
      <c r="K176" s="91">
        <v>7.53738619036125</v>
      </c>
      <c r="L176" s="91">
        <v>10.6685602125154</v>
      </c>
      <c r="M176" s="91">
        <v>0.495470720770206</v>
      </c>
      <c r="N176" s="91">
        <v>0.000249031961589888</v>
      </c>
      <c r="O176" s="91">
        <v>43.6969206726357</v>
      </c>
      <c r="P176" s="245">
        <v>0</v>
      </c>
      <c r="Q176" s="91">
        <v>37.6014131717558</v>
      </c>
    </row>
    <row r="177" s="176" customFormat="1" spans="1:17">
      <c r="A177" s="266"/>
      <c r="B177" s="265" t="s">
        <v>387</v>
      </c>
      <c r="C177" s="91">
        <v>2691420.82213215</v>
      </c>
      <c r="D177" s="91">
        <v>167055.827353</v>
      </c>
      <c r="E177" s="91">
        <v>244191.46287</v>
      </c>
      <c r="F177" s="91">
        <v>19796.931535</v>
      </c>
      <c r="G177" s="91">
        <v>0</v>
      </c>
      <c r="H177" s="91">
        <v>1095837.916192</v>
      </c>
      <c r="I177" s="245">
        <v>0</v>
      </c>
      <c r="J177" s="91">
        <v>1164538.68418215</v>
      </c>
      <c r="K177" s="91">
        <v>6.20697536331973</v>
      </c>
      <c r="L177" s="91">
        <v>9.07295733398356</v>
      </c>
      <c r="M177" s="91">
        <v>0.735556898876809</v>
      </c>
      <c r="N177" s="91">
        <v>0</v>
      </c>
      <c r="O177" s="91">
        <v>40.7159633744631</v>
      </c>
      <c r="P177" s="245">
        <v>0</v>
      </c>
      <c r="Q177" s="91">
        <v>43.2685470293569</v>
      </c>
    </row>
    <row r="178" s="176" customFormat="1" spans="1:17">
      <c r="A178" s="266"/>
      <c r="B178" s="265" t="s">
        <v>388</v>
      </c>
      <c r="C178" s="267">
        <v>3457686.16131304</v>
      </c>
      <c r="D178" s="267">
        <v>285420.473403</v>
      </c>
      <c r="E178" s="267">
        <v>349148.720934</v>
      </c>
      <c r="F178" s="267">
        <v>20713.862504</v>
      </c>
      <c r="G178" s="267">
        <v>0</v>
      </c>
      <c r="H178" s="267">
        <v>1447364.67297674</v>
      </c>
      <c r="I178" s="245">
        <v>0</v>
      </c>
      <c r="J178" s="267">
        <v>1355038.4314953</v>
      </c>
      <c r="K178" s="267">
        <v>8.25466685196822</v>
      </c>
      <c r="L178" s="267">
        <v>10.0977562637267</v>
      </c>
      <c r="M178" s="267">
        <v>0.599067166238535</v>
      </c>
      <c r="N178" s="267">
        <v>0</v>
      </c>
      <c r="O178" s="267">
        <v>41.8593419255584</v>
      </c>
      <c r="P178" s="245">
        <v>0</v>
      </c>
      <c r="Q178" s="267">
        <v>39.1891677925081</v>
      </c>
    </row>
    <row r="179" s="176" customFormat="1" spans="1:17">
      <c r="A179" s="266"/>
      <c r="B179" s="265" t="s">
        <v>389</v>
      </c>
      <c r="C179" s="267">
        <v>3014709.16028019</v>
      </c>
      <c r="D179" s="267">
        <v>209315.8803</v>
      </c>
      <c r="E179" s="267">
        <v>310377.800881</v>
      </c>
      <c r="F179" s="267">
        <v>12196.460107</v>
      </c>
      <c r="G179" s="267">
        <v>0.812033</v>
      </c>
      <c r="H179" s="267">
        <v>1306267.688942</v>
      </c>
      <c r="I179" s="245">
        <v>0</v>
      </c>
      <c r="J179" s="267">
        <v>1176550.51801719</v>
      </c>
      <c r="K179" s="267">
        <v>6.94315335813509</v>
      </c>
      <c r="L179" s="267">
        <v>10.2954475665624</v>
      </c>
      <c r="M179" s="267">
        <v>0.404565066099659</v>
      </c>
      <c r="N179" s="267">
        <v>2.69356994929663e-5</v>
      </c>
      <c r="O179" s="267">
        <v>43.3298079347925</v>
      </c>
      <c r="P179" s="245">
        <v>0</v>
      </c>
      <c r="Q179" s="267">
        <v>39.0269991387109</v>
      </c>
    </row>
    <row r="180" s="176" customFormat="1" spans="1:17">
      <c r="A180" s="266"/>
      <c r="B180" s="265" t="s">
        <v>390</v>
      </c>
      <c r="C180" s="267">
        <v>2581381.9748091</v>
      </c>
      <c r="D180" s="267">
        <v>216402.048014</v>
      </c>
      <c r="E180" s="267">
        <v>307272.140196</v>
      </c>
      <c r="F180" s="267">
        <v>26012.25479</v>
      </c>
      <c r="G180" s="267">
        <v>76.567628</v>
      </c>
      <c r="H180" s="267">
        <v>1218273.38022</v>
      </c>
      <c r="I180" s="245">
        <v>0</v>
      </c>
      <c r="J180" s="267">
        <v>813345.583961104</v>
      </c>
      <c r="K180" s="267">
        <v>8.3831858332397</v>
      </c>
      <c r="L180" s="267">
        <v>11.9033968314094</v>
      </c>
      <c r="M180" s="267">
        <v>1.00768716307177</v>
      </c>
      <c r="N180" s="267">
        <v>0.00296614870434517</v>
      </c>
      <c r="O180" s="267">
        <v>47.1946187007094</v>
      </c>
      <c r="P180" s="245">
        <v>0</v>
      </c>
      <c r="Q180" s="267">
        <v>31.5081453228654</v>
      </c>
    </row>
    <row r="181" s="176" customFormat="1" spans="1:17">
      <c r="A181" s="184">
        <v>2024</v>
      </c>
      <c r="B181" s="245" t="s">
        <v>379</v>
      </c>
      <c r="C181" s="245">
        <v>3716195.53137646</v>
      </c>
      <c r="D181" s="245">
        <v>297057.065533</v>
      </c>
      <c r="E181" s="245">
        <v>445519.621595</v>
      </c>
      <c r="F181" s="245">
        <v>22266.929753</v>
      </c>
      <c r="G181" s="245">
        <v>53.197294</v>
      </c>
      <c r="H181" s="245">
        <v>1599320.850836</v>
      </c>
      <c r="I181" s="245">
        <v>0</v>
      </c>
      <c r="J181" s="245">
        <v>1351977.86636546</v>
      </c>
      <c r="K181" s="245">
        <v>7.99358007469998</v>
      </c>
      <c r="L181" s="245">
        <v>11.9885947290287</v>
      </c>
      <c r="M181" s="245">
        <v>0.599186172121369</v>
      </c>
      <c r="N181" s="245">
        <v>0.00143149878823238</v>
      </c>
      <c r="O181" s="245">
        <v>43.0365097135677</v>
      </c>
      <c r="P181" s="245">
        <v>0</v>
      </c>
      <c r="Q181" s="245">
        <v>36.3806978117939</v>
      </c>
    </row>
    <row r="182" s="176" customFormat="1" spans="1:17">
      <c r="A182" s="266"/>
      <c r="B182" s="245" t="s">
        <v>380</v>
      </c>
      <c r="C182" s="245">
        <v>5457146.57339615</v>
      </c>
      <c r="D182" s="245">
        <v>276961.99844</v>
      </c>
      <c r="E182" s="245">
        <v>458315.168758</v>
      </c>
      <c r="F182" s="245">
        <v>21420.890051</v>
      </c>
      <c r="G182" s="245">
        <v>1.109746</v>
      </c>
      <c r="H182" s="245">
        <v>1790958.688012</v>
      </c>
      <c r="I182" s="245">
        <v>0</v>
      </c>
      <c r="J182" s="245">
        <v>2909488.71838915</v>
      </c>
      <c r="K182" s="245">
        <v>5.07521641053592</v>
      </c>
      <c r="L182" s="245">
        <v>8.39843978155743</v>
      </c>
      <c r="M182" s="245">
        <v>0.392529131532363</v>
      </c>
      <c r="N182" s="245">
        <v>2.03356458375164e-5</v>
      </c>
      <c r="O182" s="245">
        <v>32.818592352696</v>
      </c>
      <c r="P182" s="245">
        <v>0</v>
      </c>
      <c r="Q182" s="245">
        <v>53.3152019880325</v>
      </c>
    </row>
    <row r="183" s="176" customFormat="1" spans="1:17">
      <c r="A183" s="266"/>
      <c r="B183" s="245" t="s">
        <v>391</v>
      </c>
      <c r="C183" s="245">
        <v>5576182.04472304</v>
      </c>
      <c r="D183" s="245">
        <v>346521.819596</v>
      </c>
      <c r="E183" s="245">
        <v>563577.091695</v>
      </c>
      <c r="F183" s="245">
        <v>27214.674534</v>
      </c>
      <c r="G183" s="245">
        <v>2.313542</v>
      </c>
      <c r="H183" s="245">
        <v>2348516.436391</v>
      </c>
      <c r="I183" s="245">
        <v>0</v>
      </c>
      <c r="J183" s="245">
        <v>2290349.70896504</v>
      </c>
      <c r="K183" s="245">
        <v>6.21432042241029</v>
      </c>
      <c r="L183" s="245">
        <v>10.1068632116904</v>
      </c>
      <c r="M183" s="245">
        <v>0.488052117304067</v>
      </c>
      <c r="N183" s="245">
        <v>4.14897143142842e-5</v>
      </c>
      <c r="O183" s="245">
        <v>42.1169254797463</v>
      </c>
      <c r="P183" s="245">
        <v>0</v>
      </c>
      <c r="Q183" s="245">
        <v>41.0737972791346</v>
      </c>
    </row>
    <row r="184" s="176" customFormat="1" spans="1:17">
      <c r="A184" s="266"/>
      <c r="B184" s="245" t="s">
        <v>382</v>
      </c>
      <c r="C184" s="245">
        <v>4579396.7758497</v>
      </c>
      <c r="D184" s="245">
        <v>297360.704206</v>
      </c>
      <c r="E184" s="245">
        <v>430035.639089</v>
      </c>
      <c r="F184" s="245">
        <v>28905.347172</v>
      </c>
      <c r="G184" s="245">
        <v>0.097329</v>
      </c>
      <c r="H184" s="245">
        <v>1820029.268444</v>
      </c>
      <c r="I184" s="245">
        <v>0</v>
      </c>
      <c r="J184" s="245">
        <v>2003065.7196097</v>
      </c>
      <c r="K184" s="245">
        <v>6.49344703595433</v>
      </c>
      <c r="L184" s="245">
        <v>9.39066126256788</v>
      </c>
      <c r="M184" s="245">
        <v>0.631204252150365</v>
      </c>
      <c r="N184" s="245">
        <v>2.12536726481712e-6</v>
      </c>
      <c r="O184" s="245">
        <v>39.7438649134372</v>
      </c>
      <c r="P184" s="245">
        <v>0</v>
      </c>
      <c r="Q184" s="245">
        <v>43.740820410523</v>
      </c>
    </row>
    <row r="185" s="176" customFormat="1" spans="1:17">
      <c r="A185" s="266"/>
      <c r="B185" s="245" t="s">
        <v>383</v>
      </c>
      <c r="C185" s="245">
        <v>5392153.24686462</v>
      </c>
      <c r="D185" s="245">
        <v>298919.142422</v>
      </c>
      <c r="E185" s="245">
        <v>609677.358435</v>
      </c>
      <c r="F185" s="245">
        <v>43871.127155</v>
      </c>
      <c r="G185" s="245">
        <v>0</v>
      </c>
      <c r="H185" s="245">
        <v>1933126.680271</v>
      </c>
      <c r="I185" s="245">
        <v>0</v>
      </c>
      <c r="J185" s="245">
        <v>2506558.93858162</v>
      </c>
      <c r="K185" s="245">
        <v>5.5435950859856</v>
      </c>
      <c r="L185" s="245">
        <v>11.306751320347</v>
      </c>
      <c r="M185" s="245">
        <v>0.813610540103062</v>
      </c>
      <c r="N185" s="245">
        <v>0</v>
      </c>
      <c r="O185" s="245">
        <v>35.8507370204112</v>
      </c>
      <c r="P185" s="245">
        <v>0</v>
      </c>
      <c r="Q185" s="245">
        <v>46.4853060331531</v>
      </c>
    </row>
    <row r="186" s="176" customFormat="1" spans="1:17">
      <c r="A186" s="266"/>
      <c r="B186" s="245" t="s">
        <v>384</v>
      </c>
      <c r="C186" s="245">
        <v>3997791.30104644</v>
      </c>
      <c r="D186" s="245">
        <v>296967.572923</v>
      </c>
      <c r="E186" s="245">
        <v>441782.336254</v>
      </c>
      <c r="F186" s="245">
        <v>23794.889584</v>
      </c>
      <c r="G186" s="245">
        <v>0.016452</v>
      </c>
      <c r="H186" s="245">
        <v>1823747.183535</v>
      </c>
      <c r="I186" s="245">
        <v>0</v>
      </c>
      <c r="J186" s="245">
        <v>1411499.30229845</v>
      </c>
      <c r="K186" s="245">
        <v>7.42829103773544</v>
      </c>
      <c r="L186" s="245">
        <v>11.0506603018112</v>
      </c>
      <c r="M186" s="245">
        <v>0.595200894498208</v>
      </c>
      <c r="N186" s="245">
        <v>4.11527234943295e-7</v>
      </c>
      <c r="O186" s="245">
        <v>45.6188691755276</v>
      </c>
      <c r="P186" s="245">
        <v>0</v>
      </c>
      <c r="Q186" s="245">
        <v>35.3069781789004</v>
      </c>
    </row>
    <row r="187" s="176" customFormat="1" spans="1:17">
      <c r="A187" s="266"/>
      <c r="B187" s="245" t="s">
        <v>385</v>
      </c>
      <c r="C187" s="245">
        <v>4971869.47846028</v>
      </c>
      <c r="D187" s="245">
        <v>361803.167624</v>
      </c>
      <c r="E187" s="245">
        <v>549114.405007</v>
      </c>
      <c r="F187" s="245">
        <v>27413.66128</v>
      </c>
      <c r="G187" s="245">
        <v>0</v>
      </c>
      <c r="H187" s="245">
        <v>2316265.579679</v>
      </c>
      <c r="I187" s="245">
        <v>0</v>
      </c>
      <c r="J187" s="245">
        <v>1717272.66487028</v>
      </c>
      <c r="K187" s="245">
        <v>7.27700453906616</v>
      </c>
      <c r="L187" s="245">
        <v>11.0444251882705</v>
      </c>
      <c r="M187" s="245">
        <v>0.551375320666898</v>
      </c>
      <c r="N187" s="245">
        <v>0</v>
      </c>
      <c r="O187" s="245">
        <v>46.5874172625367</v>
      </c>
      <c r="P187" s="245">
        <v>0</v>
      </c>
      <c r="Q187" s="245">
        <v>34.5397776894597</v>
      </c>
    </row>
    <row r="188" spans="1:17">
      <c r="A188" s="266"/>
      <c r="B188" s="245" t="s">
        <v>386</v>
      </c>
      <c r="C188" s="245">
        <v>5545915.17784988</v>
      </c>
      <c r="D188" s="245">
        <v>304341.749615</v>
      </c>
      <c r="E188" s="245">
        <v>467121.028391</v>
      </c>
      <c r="F188" s="245">
        <v>26594.237515</v>
      </c>
      <c r="G188" s="245">
        <v>2.427683</v>
      </c>
      <c r="H188" s="245">
        <v>2122585.906247</v>
      </c>
      <c r="I188" s="245">
        <v>0</v>
      </c>
      <c r="J188" s="245">
        <v>2625269.82839888</v>
      </c>
      <c r="K188" s="245">
        <v>5.48767407822114</v>
      </c>
      <c r="L188" s="245">
        <v>8.42279431637647</v>
      </c>
      <c r="M188" s="245">
        <v>0.479528385526272</v>
      </c>
      <c r="N188" s="245">
        <v>4.3774254061729e-5</v>
      </c>
      <c r="O188" s="245">
        <v>38.2729601549715</v>
      </c>
      <c r="P188" s="245">
        <v>0</v>
      </c>
      <c r="Q188" s="245">
        <v>47.3369992906506</v>
      </c>
    </row>
    <row r="189" spans="1:17">
      <c r="A189" s="266"/>
      <c r="B189" s="245" t="s">
        <v>387</v>
      </c>
      <c r="C189" s="245">
        <v>4763393.18057143</v>
      </c>
      <c r="D189" s="245">
        <v>216093.602879</v>
      </c>
      <c r="E189" s="245">
        <v>563342.858094</v>
      </c>
      <c r="F189" s="245">
        <v>38977.803178</v>
      </c>
      <c r="G189" s="245">
        <v>172.286527</v>
      </c>
      <c r="H189" s="245">
        <v>2542679.202606</v>
      </c>
      <c r="I189" s="245">
        <v>0</v>
      </c>
      <c r="J189" s="245">
        <v>1402127.42728743</v>
      </c>
      <c r="K189" s="245">
        <v>4.53654768118631</v>
      </c>
      <c r="L189" s="245">
        <v>11.8265034343946</v>
      </c>
      <c r="M189" s="245">
        <v>0.818278099254535</v>
      </c>
      <c r="N189" s="245">
        <v>0.00361688654429597</v>
      </c>
      <c r="O189" s="245">
        <v>53.3795785109004</v>
      </c>
      <c r="P189" s="245">
        <v>0</v>
      </c>
      <c r="Q189" s="245">
        <v>29.4354753877199</v>
      </c>
    </row>
    <row r="190" spans="1:17">
      <c r="A190" s="266"/>
      <c r="B190" s="245" t="s">
        <v>388</v>
      </c>
      <c r="C190" s="245">
        <v>5484068.41516227</v>
      </c>
      <c r="D190" s="245">
        <v>249700.24307</v>
      </c>
      <c r="E190" s="245">
        <v>778282.510666</v>
      </c>
      <c r="F190" s="245">
        <v>32316.274238</v>
      </c>
      <c r="G190" s="245">
        <v>0.048567</v>
      </c>
      <c r="H190" s="245">
        <v>2867878.255225</v>
      </c>
      <c r="I190" s="245">
        <v>0</v>
      </c>
      <c r="J190" s="245">
        <v>1555891.08339627</v>
      </c>
      <c r="K190" s="245">
        <v>4.55319343536329</v>
      </c>
      <c r="L190" s="245">
        <v>14.1916995148021</v>
      </c>
      <c r="M190" s="245">
        <v>0.589275548580912</v>
      </c>
      <c r="N190" s="245">
        <v>8.85601643220254e-7</v>
      </c>
      <c r="O190" s="245">
        <v>52.2947206000555</v>
      </c>
      <c r="P190" s="245">
        <v>0</v>
      </c>
      <c r="Q190" s="245">
        <v>28.3711100155965</v>
      </c>
    </row>
    <row r="191" spans="1:17">
      <c r="A191" s="266"/>
      <c r="B191" s="245" t="s">
        <v>389</v>
      </c>
      <c r="C191" s="245">
        <v>5667962.44493265</v>
      </c>
      <c r="D191" s="245">
        <v>370791.628749</v>
      </c>
      <c r="E191" s="245">
        <v>693175.932029</v>
      </c>
      <c r="F191" s="245">
        <v>36550.599895</v>
      </c>
      <c r="G191" s="245">
        <v>2.947998</v>
      </c>
      <c r="H191" s="245">
        <v>2431579.879434</v>
      </c>
      <c r="I191" s="245">
        <v>0</v>
      </c>
      <c r="J191" s="245">
        <v>2135861.45682765</v>
      </c>
      <c r="K191" s="245">
        <v>6.54188577202907</v>
      </c>
      <c r="L191" s="245">
        <v>12.2297199172292</v>
      </c>
      <c r="M191" s="245">
        <v>0.644863127624945</v>
      </c>
      <c r="N191" s="245">
        <v>5.20116007937845e-5</v>
      </c>
      <c r="O191" s="245">
        <v>42.9004232659995</v>
      </c>
      <c r="P191" s="245">
        <v>0</v>
      </c>
      <c r="Q191" s="245">
        <v>37.6830559055165</v>
      </c>
    </row>
    <row r="192" spans="1:17">
      <c r="A192" s="266"/>
      <c r="B192" s="245" t="s">
        <v>390</v>
      </c>
      <c r="C192" s="245">
        <v>5438474.67242087</v>
      </c>
      <c r="D192" s="245">
        <v>470054.548394</v>
      </c>
      <c r="E192" s="245">
        <v>637805.467997</v>
      </c>
      <c r="F192" s="245">
        <v>42921.905113</v>
      </c>
      <c r="G192" s="245">
        <v>118.631778</v>
      </c>
      <c r="H192" s="245">
        <v>3174099.697678</v>
      </c>
      <c r="I192" s="245">
        <v>0</v>
      </c>
      <c r="J192" s="245">
        <v>1113474.42146087</v>
      </c>
      <c r="K192" s="245">
        <v>8.64313206748393</v>
      </c>
      <c r="L192" s="245">
        <v>11.7276535502019</v>
      </c>
      <c r="M192" s="245">
        <v>0.789226900893037</v>
      </c>
      <c r="N192" s="245">
        <v>0.00218134284235238</v>
      </c>
      <c r="O192" s="245">
        <v>58.3637855991906</v>
      </c>
      <c r="P192" s="245">
        <v>0</v>
      </c>
      <c r="Q192" s="245">
        <v>20.4740205393881</v>
      </c>
    </row>
    <row r="193" spans="1:17">
      <c r="A193" s="268"/>
      <c r="B193" s="269" t="s">
        <v>379</v>
      </c>
      <c r="C193" s="269">
        <v>5493728.4805547</v>
      </c>
      <c r="D193" s="269">
        <v>393311.675974</v>
      </c>
      <c r="E193" s="269">
        <v>668988.59507</v>
      </c>
      <c r="F193" s="269">
        <v>37260.057644</v>
      </c>
      <c r="G193" s="269">
        <v>44.734347</v>
      </c>
      <c r="H193" s="269">
        <v>2793259.099117</v>
      </c>
      <c r="I193" s="269">
        <v>335686.2857018</v>
      </c>
      <c r="J193" s="269">
        <v>1265178.0327009</v>
      </c>
      <c r="K193" s="185">
        <v>7.15928494402562</v>
      </c>
      <c r="L193" s="185">
        <v>12.177314503946</v>
      </c>
      <c r="M193" s="185">
        <v>0.678228961913274</v>
      </c>
      <c r="N193" s="185">
        <v>0.000814280268097327</v>
      </c>
      <c r="O193" s="185">
        <v>50.8445058579773</v>
      </c>
      <c r="P193" s="185">
        <v>6.11035450495919</v>
      </c>
      <c r="Q193" s="185">
        <v>23.0294969469106</v>
      </c>
    </row>
    <row r="194" spans="1:17">
      <c r="A194" s="268"/>
      <c r="B194" s="269" t="s">
        <v>380</v>
      </c>
      <c r="C194" s="269">
        <v>5134191.14241054</v>
      </c>
      <c r="D194" s="269">
        <v>290947.142371</v>
      </c>
      <c r="E194" s="269">
        <v>548578.04707</v>
      </c>
      <c r="F194" s="269">
        <v>29784.123505</v>
      </c>
      <c r="G194" s="269">
        <v>0</v>
      </c>
      <c r="H194" s="269">
        <v>2232716.802837</v>
      </c>
      <c r="I194" s="269">
        <v>445272.51870782</v>
      </c>
      <c r="J194" s="269">
        <v>1586892.50791972</v>
      </c>
      <c r="K194" s="185">
        <v>5.66685451127163</v>
      </c>
      <c r="L194" s="185">
        <v>10.684799841956</v>
      </c>
      <c r="M194" s="185">
        <v>0.580113257937961</v>
      </c>
      <c r="N194" s="185">
        <v>0</v>
      </c>
      <c r="O194" s="185">
        <v>43.4872162119918</v>
      </c>
      <c r="P194" s="185">
        <v>8.67269071908299</v>
      </c>
      <c r="Q194" s="185">
        <v>30.9083254577597</v>
      </c>
    </row>
    <row r="195" spans="1:17">
      <c r="A195" s="268"/>
      <c r="B195" s="269" t="s">
        <v>391</v>
      </c>
      <c r="C195" s="269">
        <v>4798255.12207838</v>
      </c>
      <c r="D195" s="269">
        <v>351547.74071</v>
      </c>
      <c r="E195" s="269">
        <v>593530.482676</v>
      </c>
      <c r="F195" s="269">
        <v>24733.368819</v>
      </c>
      <c r="G195" s="269">
        <v>1.034731</v>
      </c>
      <c r="H195" s="269">
        <v>2486247.272486</v>
      </c>
      <c r="I195" s="269">
        <v>407289.46350338</v>
      </c>
      <c r="J195" s="269">
        <v>934905.759153</v>
      </c>
      <c r="K195" s="185">
        <v>7.32657459359364</v>
      </c>
      <c r="L195" s="185">
        <v>12.3697149812849</v>
      </c>
      <c r="M195" s="185">
        <v>0.515465897284067</v>
      </c>
      <c r="N195" s="185">
        <v>2.15647349645678e-5</v>
      </c>
      <c r="O195" s="185">
        <v>51.8156540081819</v>
      </c>
      <c r="P195" s="185">
        <v>8.48828278490872</v>
      </c>
      <c r="Q195" s="185">
        <v>19.4842861700118</v>
      </c>
    </row>
  </sheetData>
  <mergeCells count="6">
    <mergeCell ref="A3:Q3"/>
    <mergeCell ref="A4:Q4"/>
    <mergeCell ref="C5:K5"/>
    <mergeCell ref="L5:Q5"/>
    <mergeCell ref="A103:Q103"/>
    <mergeCell ref="A104:Q104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3"/>
  <sheetViews>
    <sheetView zoomScale="82" zoomScaleNormal="82" workbookViewId="0">
      <selection activeCell="B4" sqref="B4"/>
    </sheetView>
  </sheetViews>
  <sheetFormatPr defaultColWidth="8.81481481481481" defaultRowHeight="17.4"/>
  <cols>
    <col min="1" max="1" width="45.4537037037037" style="57" customWidth="1"/>
    <col min="2" max="2" width="24.7222222222222" style="57" customWidth="1"/>
    <col min="3" max="4" width="24.1759259259259" style="57" customWidth="1"/>
    <col min="5" max="5" width="24.7222222222222" style="57" customWidth="1"/>
    <col min="6" max="6" width="29.6296296296296" style="57" customWidth="1"/>
    <col min="7" max="7" width="18.2685185185185" style="57" customWidth="1"/>
    <col min="8" max="9" width="12.7222222222222" style="57" customWidth="1"/>
    <col min="10" max="16384" width="8.81481481481481" style="57"/>
  </cols>
  <sheetData>
    <row r="2" ht="18" spans="1:6">
      <c r="A2" s="152" t="s">
        <v>659</v>
      </c>
      <c r="B2" s="152"/>
      <c r="C2" s="152"/>
      <c r="D2" s="152"/>
      <c r="E2" s="152"/>
      <c r="F2" s="152"/>
    </row>
    <row r="3" ht="18" spans="1:6">
      <c r="A3" s="153" t="s">
        <v>444</v>
      </c>
      <c r="B3" s="152"/>
      <c r="C3" s="152"/>
      <c r="D3" s="152"/>
      <c r="E3" s="152"/>
      <c r="F3" s="154"/>
    </row>
    <row r="4" ht="18" spans="1:6">
      <c r="A4" s="155"/>
      <c r="B4" s="156"/>
      <c r="C4" s="156"/>
      <c r="D4" s="156"/>
      <c r="E4" s="156"/>
      <c r="F4" s="157"/>
    </row>
    <row r="5" ht="18" spans="1:8">
      <c r="A5" s="155" t="s">
        <v>660</v>
      </c>
      <c r="B5" s="158" t="s">
        <v>661</v>
      </c>
      <c r="C5" s="158" t="s">
        <v>662</v>
      </c>
      <c r="D5" s="158" t="s">
        <v>663</v>
      </c>
      <c r="E5" s="158" t="s">
        <v>664</v>
      </c>
      <c r="F5" s="158" t="s">
        <v>665</v>
      </c>
      <c r="H5" s="159"/>
    </row>
    <row r="6" ht="18" spans="1:8">
      <c r="A6" s="155" t="s">
        <v>666</v>
      </c>
      <c r="B6" s="112">
        <v>636319.34187285</v>
      </c>
      <c r="C6" s="112">
        <v>582138.00422813</v>
      </c>
      <c r="D6" s="112">
        <v>485687.738356968</v>
      </c>
      <c r="E6" s="112">
        <v>1704145.08445795</v>
      </c>
      <c r="F6" s="160">
        <v>8.27315909810274</v>
      </c>
      <c r="G6" s="159"/>
      <c r="H6" s="159"/>
    </row>
    <row r="7" ht="18" spans="1:8">
      <c r="A7" s="155" t="s">
        <v>667</v>
      </c>
      <c r="B7" s="112">
        <v>462400.75941592</v>
      </c>
      <c r="C7" s="112">
        <v>287333.58941436</v>
      </c>
      <c r="D7" s="112">
        <v>294856.82783916</v>
      </c>
      <c r="E7" s="112">
        <v>1044591.17666944</v>
      </c>
      <c r="F7" s="160">
        <v>5.07120495542167</v>
      </c>
      <c r="G7" s="159"/>
      <c r="H7" s="159"/>
    </row>
    <row r="8" ht="18" spans="1:8">
      <c r="A8" s="155" t="s">
        <v>668</v>
      </c>
      <c r="B8" s="112">
        <v>23800.07550449</v>
      </c>
      <c r="C8" s="112">
        <v>12400.94045075</v>
      </c>
      <c r="D8" s="112">
        <v>22664.85465259</v>
      </c>
      <c r="E8" s="112">
        <v>58865.87060783</v>
      </c>
      <c r="F8" s="160">
        <v>0.285777729507</v>
      </c>
      <c r="G8" s="159"/>
      <c r="H8" s="159"/>
    </row>
    <row r="9" ht="18" spans="1:8">
      <c r="A9" s="155" t="s">
        <v>669</v>
      </c>
      <c r="B9" s="112">
        <v>20698.951238447</v>
      </c>
      <c r="C9" s="112">
        <v>20369.326605311</v>
      </c>
      <c r="D9" s="112">
        <v>24778.1236431</v>
      </c>
      <c r="E9" s="112">
        <v>65846.401486858</v>
      </c>
      <c r="F9" s="160">
        <v>0.319666301013098</v>
      </c>
      <c r="G9" s="159"/>
      <c r="H9" s="159"/>
    </row>
    <row r="10" ht="18" spans="1:8">
      <c r="A10" s="155" t="s">
        <v>670</v>
      </c>
      <c r="B10" s="112">
        <v>84482.07122944</v>
      </c>
      <c r="C10" s="112">
        <v>62485.56702461</v>
      </c>
      <c r="D10" s="112">
        <v>147459.654191035</v>
      </c>
      <c r="E10" s="112">
        <v>294427.292445085</v>
      </c>
      <c r="F10" s="160">
        <v>1.42936411661018</v>
      </c>
      <c r="G10" s="159"/>
      <c r="H10" s="159"/>
    </row>
    <row r="11" ht="18" spans="1:8">
      <c r="A11" s="155" t="s">
        <v>671</v>
      </c>
      <c r="B11" s="112">
        <v>4206403.27270936</v>
      </c>
      <c r="C11" s="112">
        <v>4291523.90575292</v>
      </c>
      <c r="D11" s="112">
        <v>4457101.02400452</v>
      </c>
      <c r="E11" s="112">
        <v>12955028.2024668</v>
      </c>
      <c r="F11" s="160">
        <v>62.8931247796353</v>
      </c>
      <c r="G11" s="159"/>
      <c r="H11" s="159"/>
    </row>
    <row r="12" ht="18" spans="1:9">
      <c r="A12" s="155" t="s">
        <v>672</v>
      </c>
      <c r="B12" s="112">
        <v>1357742.87441605</v>
      </c>
      <c r="C12" s="112">
        <v>1758508.35350335</v>
      </c>
      <c r="D12" s="112">
        <v>1359325.49658628</v>
      </c>
      <c r="E12" s="112">
        <v>4475576.72450568</v>
      </c>
      <c r="F12" s="160">
        <v>21.7277030197101</v>
      </c>
      <c r="G12" s="159"/>
      <c r="H12" s="161"/>
      <c r="I12" s="161"/>
    </row>
    <row r="13" ht="18" spans="1:9">
      <c r="A13" s="162" t="s">
        <v>425</v>
      </c>
      <c r="B13" s="163">
        <v>6791847.34638656</v>
      </c>
      <c r="C13" s="163">
        <v>7014759.68697943</v>
      </c>
      <c r="D13" s="163">
        <v>6791873.71927365</v>
      </c>
      <c r="E13" s="163">
        <v>20598480.7526396</v>
      </c>
      <c r="F13" s="163">
        <v>100</v>
      </c>
      <c r="G13" s="159"/>
      <c r="H13" s="161"/>
      <c r="I13" s="161"/>
    </row>
    <row r="14" ht="18" spans="1:9">
      <c r="A14" s="155"/>
      <c r="B14" s="158"/>
      <c r="C14" s="158"/>
      <c r="D14" s="158"/>
      <c r="E14" s="158"/>
      <c r="F14" s="156"/>
      <c r="G14" s="159"/>
      <c r="H14" s="161"/>
      <c r="I14" s="161"/>
    </row>
    <row r="15" ht="18" spans="1:7">
      <c r="A15" s="153" t="s">
        <v>636</v>
      </c>
      <c r="B15" s="152"/>
      <c r="C15" s="152"/>
      <c r="D15" s="152"/>
      <c r="E15" s="152"/>
      <c r="F15" s="154"/>
      <c r="G15" s="159"/>
    </row>
    <row r="16" ht="18" spans="1:7">
      <c r="A16" s="164"/>
      <c r="B16" s="156"/>
      <c r="C16" s="156"/>
      <c r="D16" s="165"/>
      <c r="E16" s="156"/>
      <c r="F16" s="157"/>
      <c r="G16" s="159"/>
    </row>
    <row r="17" ht="18" spans="1:7">
      <c r="A17" s="155" t="s">
        <v>660</v>
      </c>
      <c r="B17" s="158" t="s">
        <v>661</v>
      </c>
      <c r="C17" s="158" t="s">
        <v>662</v>
      </c>
      <c r="D17" s="158" t="s">
        <v>663</v>
      </c>
      <c r="E17" s="158" t="s">
        <v>664</v>
      </c>
      <c r="F17" s="166" t="s">
        <v>673</v>
      </c>
      <c r="G17" s="159"/>
    </row>
    <row r="18" ht="18" spans="1:7">
      <c r="A18" s="155" t="s">
        <v>666</v>
      </c>
      <c r="B18" s="112">
        <v>393311.675974</v>
      </c>
      <c r="C18" s="112">
        <v>290947.142371</v>
      </c>
      <c r="D18" s="112">
        <v>351547.74071</v>
      </c>
      <c r="E18" s="167">
        <v>1035806.559055</v>
      </c>
      <c r="F18" s="156">
        <v>6.71460408153227</v>
      </c>
      <c r="G18" s="159"/>
    </row>
    <row r="19" ht="18" spans="1:7">
      <c r="A19" s="155" t="s">
        <v>667</v>
      </c>
      <c r="B19" s="112">
        <v>668988.59507</v>
      </c>
      <c r="C19" s="112">
        <v>548578.04707</v>
      </c>
      <c r="D19" s="112">
        <v>593530.482676</v>
      </c>
      <c r="E19" s="167">
        <v>1811097.124816</v>
      </c>
      <c r="F19" s="156">
        <v>11.7404162389506</v>
      </c>
      <c r="G19" s="159"/>
    </row>
    <row r="20" ht="18" spans="1:7">
      <c r="A20" s="155" t="s">
        <v>668</v>
      </c>
      <c r="B20" s="112">
        <v>37260.057644</v>
      </c>
      <c r="C20" s="112">
        <v>29784.123505</v>
      </c>
      <c r="D20" s="112">
        <v>24733.368819</v>
      </c>
      <c r="E20" s="167">
        <v>91777.549968</v>
      </c>
      <c r="F20" s="156">
        <v>0.594946909942712</v>
      </c>
      <c r="G20" s="159"/>
    </row>
    <row r="21" ht="18" spans="1:7">
      <c r="A21" s="155" t="s">
        <v>669</v>
      </c>
      <c r="B21" s="112">
        <v>44.734347</v>
      </c>
      <c r="C21" s="112">
        <v>0</v>
      </c>
      <c r="D21" s="112">
        <v>1.034731</v>
      </c>
      <c r="E21" s="167">
        <v>45.769078</v>
      </c>
      <c r="F21" s="156">
        <v>0.000296697520652069</v>
      </c>
      <c r="G21" s="159"/>
    </row>
    <row r="22" ht="18" spans="1:7">
      <c r="A22" s="155" t="s">
        <v>670</v>
      </c>
      <c r="B22" s="112">
        <v>2793259.099117</v>
      </c>
      <c r="C22" s="112">
        <v>2232716.802837</v>
      </c>
      <c r="D22" s="112">
        <v>2486247.272486</v>
      </c>
      <c r="E22" s="167">
        <v>7512223.17444</v>
      </c>
      <c r="F22" s="156">
        <v>48.6979001508696</v>
      </c>
      <c r="G22" s="159"/>
    </row>
    <row r="23" ht="18" spans="1:7">
      <c r="A23" s="155" t="s">
        <v>671</v>
      </c>
      <c r="B23" s="112">
        <v>335686.2857018</v>
      </c>
      <c r="C23" s="112">
        <v>445272.51870782</v>
      </c>
      <c r="D23" s="112">
        <v>407289.46350338</v>
      </c>
      <c r="E23" s="167">
        <v>1188248.267913</v>
      </c>
      <c r="F23" s="156">
        <v>7.70280570233253</v>
      </c>
      <c r="G23" s="159"/>
    </row>
    <row r="24" ht="18" spans="1:7">
      <c r="A24" s="155" t="s">
        <v>674</v>
      </c>
      <c r="B24" s="112">
        <v>1265178.0327009</v>
      </c>
      <c r="C24" s="112">
        <v>1586892.50791972</v>
      </c>
      <c r="D24" s="112">
        <v>934905.759153</v>
      </c>
      <c r="E24" s="167">
        <v>3786976.29977362</v>
      </c>
      <c r="F24" s="156">
        <v>24.5490302188517</v>
      </c>
      <c r="G24" s="159"/>
    </row>
    <row r="25" ht="18" spans="1:7">
      <c r="A25" s="162" t="s">
        <v>425</v>
      </c>
      <c r="B25" s="163">
        <v>5493728.4805547</v>
      </c>
      <c r="C25" s="163">
        <v>5134191.14241054</v>
      </c>
      <c r="D25" s="163">
        <v>4798255.12207838</v>
      </c>
      <c r="E25" s="163">
        <v>15426174.7450436</v>
      </c>
      <c r="F25" s="163">
        <v>100</v>
      </c>
      <c r="G25" s="159"/>
    </row>
    <row r="26" ht="18" spans="1:6">
      <c r="A26" s="155"/>
      <c r="B26" s="168"/>
      <c r="C26" s="169"/>
      <c r="D26" s="169"/>
      <c r="E26" s="169"/>
      <c r="F26" s="170"/>
    </row>
    <row r="27" ht="18" spans="1:6">
      <c r="A27" s="153" t="s">
        <v>675</v>
      </c>
      <c r="B27" s="152"/>
      <c r="C27" s="152"/>
      <c r="D27" s="152"/>
      <c r="E27" s="152"/>
      <c r="F27" s="154"/>
    </row>
    <row r="28" ht="18" spans="1:6">
      <c r="A28" s="164"/>
      <c r="B28" s="156"/>
      <c r="C28" s="156"/>
      <c r="D28" s="156"/>
      <c r="E28" s="156"/>
      <c r="F28" s="156"/>
    </row>
    <row r="29" ht="18" spans="1:6">
      <c r="A29" s="155" t="s">
        <v>660</v>
      </c>
      <c r="B29" s="158" t="s">
        <v>661</v>
      </c>
      <c r="C29" s="158" t="s">
        <v>662</v>
      </c>
      <c r="D29" s="158" t="s">
        <v>663</v>
      </c>
      <c r="E29" s="158" t="s">
        <v>664</v>
      </c>
      <c r="F29" s="158" t="s">
        <v>676</v>
      </c>
    </row>
    <row r="30" ht="18" spans="1:6">
      <c r="A30" s="171" t="s">
        <v>666</v>
      </c>
      <c r="B30" s="167">
        <v>1029631.01784685</v>
      </c>
      <c r="C30" s="167">
        <v>873085.14659913</v>
      </c>
      <c r="D30" s="167">
        <v>837235.479066968</v>
      </c>
      <c r="E30" s="167">
        <v>2739951.64351295</v>
      </c>
      <c r="F30" s="167">
        <v>7.60576778781175</v>
      </c>
    </row>
    <row r="31" ht="18" spans="1:6">
      <c r="A31" s="171" t="s">
        <v>667</v>
      </c>
      <c r="B31" s="167">
        <v>1131389.35448592</v>
      </c>
      <c r="C31" s="167">
        <v>835911.63648436</v>
      </c>
      <c r="D31" s="167">
        <v>888387.31051516</v>
      </c>
      <c r="E31" s="167">
        <v>2855688.30148544</v>
      </c>
      <c r="F31" s="167">
        <v>7.92703847416137</v>
      </c>
    </row>
    <row r="32" ht="18" spans="1:6">
      <c r="A32" s="171" t="s">
        <v>668</v>
      </c>
      <c r="B32" s="167">
        <v>61060.13314849</v>
      </c>
      <c r="C32" s="167">
        <v>42185.06395575</v>
      </c>
      <c r="D32" s="167">
        <v>47398.22347159</v>
      </c>
      <c r="E32" s="167">
        <v>150643.42057583</v>
      </c>
      <c r="F32" s="167">
        <v>0.418167553567633</v>
      </c>
    </row>
    <row r="33" ht="18" spans="1:6">
      <c r="A33" s="171" t="s">
        <v>669</v>
      </c>
      <c r="B33" s="167">
        <v>20743.685585447</v>
      </c>
      <c r="C33" s="167">
        <v>20369.326605311</v>
      </c>
      <c r="D33" s="167">
        <v>24779.1583741</v>
      </c>
      <c r="E33" s="167">
        <v>65892.170564858</v>
      </c>
      <c r="F33" s="167">
        <v>0.182908537651652</v>
      </c>
    </row>
    <row r="34" ht="18" spans="1:6">
      <c r="A34" s="171" t="s">
        <v>670</v>
      </c>
      <c r="B34" s="167">
        <v>2877741.17034644</v>
      </c>
      <c r="C34" s="167">
        <v>2295202.36986161</v>
      </c>
      <c r="D34" s="167">
        <v>2633706.92667703</v>
      </c>
      <c r="E34" s="167">
        <v>7806650.46688509</v>
      </c>
      <c r="F34" s="167">
        <v>21.670298741336</v>
      </c>
    </row>
    <row r="35" ht="18" spans="1:6">
      <c r="A35" s="171" t="s">
        <v>671</v>
      </c>
      <c r="B35" s="167">
        <v>4542089.55841116</v>
      </c>
      <c r="C35" s="167">
        <v>4736796.42446074</v>
      </c>
      <c r="D35" s="167">
        <v>4864390.4875079</v>
      </c>
      <c r="E35" s="167">
        <v>14143276.4703798</v>
      </c>
      <c r="F35" s="167">
        <v>39.2599909006468</v>
      </c>
    </row>
    <row r="36" ht="18" spans="1:6">
      <c r="A36" s="171" t="s">
        <v>677</v>
      </c>
      <c r="B36" s="167">
        <v>2622920.90711695</v>
      </c>
      <c r="C36" s="167">
        <v>3345400.86142307</v>
      </c>
      <c r="D36" s="167">
        <v>2294231.25573928</v>
      </c>
      <c r="E36" s="167">
        <v>8262553.0242793</v>
      </c>
      <c r="F36" s="167">
        <v>22.9358280048248</v>
      </c>
    </row>
    <row r="37" ht="18" spans="1:6">
      <c r="A37" s="172" t="s">
        <v>425</v>
      </c>
      <c r="B37" s="163">
        <v>12285575.8269413</v>
      </c>
      <c r="C37" s="163">
        <v>12148950.82939</v>
      </c>
      <c r="D37" s="163">
        <v>11590128.841352</v>
      </c>
      <c r="E37" s="163">
        <v>36024655.4976833</v>
      </c>
      <c r="F37" s="163">
        <v>100</v>
      </c>
    </row>
    <row r="38" ht="18" spans="1:6">
      <c r="A38" s="173"/>
      <c r="B38" s="174"/>
      <c r="C38" s="174"/>
      <c r="D38" s="174"/>
      <c r="E38" s="174"/>
      <c r="F38" s="173"/>
    </row>
    <row r="39" ht="18" spans="2:6">
      <c r="B39" s="174"/>
      <c r="C39" s="174"/>
      <c r="D39" s="174"/>
      <c r="E39" s="174"/>
      <c r="F39" s="173"/>
    </row>
    <row r="40" ht="18" spans="2:6">
      <c r="B40" s="174"/>
      <c r="C40" s="174"/>
      <c r="D40" s="174"/>
      <c r="E40" s="174"/>
      <c r="F40" s="173"/>
    </row>
    <row r="41" ht="18" spans="2:6">
      <c r="B41" s="174"/>
      <c r="C41" s="174"/>
      <c r="D41" s="174"/>
      <c r="E41" s="174"/>
      <c r="F41" s="173"/>
    </row>
    <row r="42" ht="18" spans="2:6">
      <c r="B42" s="174"/>
      <c r="C42" s="174"/>
      <c r="D42" s="174"/>
      <c r="E42" s="174"/>
      <c r="F42" s="173"/>
    </row>
    <row r="43" ht="18" spans="2:6">
      <c r="B43" s="174"/>
      <c r="C43" s="174"/>
      <c r="D43" s="174"/>
      <c r="E43" s="174"/>
      <c r="F43" s="173"/>
    </row>
    <row r="44" ht="18" spans="2:6">
      <c r="B44" s="174"/>
      <c r="C44" s="174"/>
      <c r="D44" s="174"/>
      <c r="E44" s="174"/>
      <c r="F44" s="173"/>
    </row>
    <row r="45" ht="18" spans="2:6">
      <c r="B45" s="174"/>
      <c r="C45" s="174"/>
      <c r="D45" s="174"/>
      <c r="E45" s="174"/>
      <c r="F45" s="173"/>
    </row>
    <row r="46" spans="2:6">
      <c r="B46" s="175"/>
      <c r="C46" s="175"/>
      <c r="D46" s="175"/>
      <c r="E46" s="175"/>
      <c r="F46" s="175"/>
    </row>
    <row r="47" spans="2:6">
      <c r="B47" s="175"/>
      <c r="C47" s="175"/>
      <c r="D47" s="175"/>
      <c r="E47" s="175"/>
      <c r="F47" s="175"/>
    </row>
    <row r="48" spans="2:6">
      <c r="B48" s="175"/>
      <c r="C48" s="175"/>
      <c r="D48" s="175"/>
      <c r="E48" s="175"/>
      <c r="F48" s="175"/>
    </row>
    <row r="49" spans="2:6">
      <c r="B49" s="175"/>
      <c r="C49" s="175"/>
      <c r="D49" s="175"/>
      <c r="E49" s="175"/>
      <c r="F49" s="175"/>
    </row>
    <row r="50" spans="2:6">
      <c r="B50" s="175"/>
      <c r="C50" s="175"/>
      <c r="D50" s="175"/>
      <c r="E50" s="175"/>
      <c r="F50" s="175"/>
    </row>
    <row r="51" spans="2:6">
      <c r="B51" s="175"/>
      <c r="C51" s="175"/>
      <c r="D51" s="175"/>
      <c r="E51" s="175"/>
      <c r="F51" s="175"/>
    </row>
    <row r="52" spans="2:6">
      <c r="B52" s="175"/>
      <c r="C52" s="175"/>
      <c r="D52" s="175"/>
      <c r="E52" s="175"/>
      <c r="F52" s="175"/>
    </row>
    <row r="53" spans="2:6">
      <c r="B53" s="175"/>
      <c r="C53" s="175"/>
      <c r="D53" s="175"/>
      <c r="E53" s="175"/>
      <c r="F53" s="175"/>
    </row>
  </sheetData>
  <mergeCells count="4">
    <mergeCell ref="A2:F2"/>
    <mergeCell ref="A3:F3"/>
    <mergeCell ref="A15:F15"/>
    <mergeCell ref="A27:F27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6"/>
  <sheetViews>
    <sheetView zoomScale="89" zoomScaleNormal="89" workbookViewId="0">
      <selection activeCell="C5" sqref="C5"/>
    </sheetView>
  </sheetViews>
  <sheetFormatPr defaultColWidth="8.81481481481481" defaultRowHeight="15.6" outlineLevelCol="3"/>
  <cols>
    <col min="1" max="1" width="4.4537037037037" style="1" customWidth="1"/>
    <col min="2" max="2" width="14.1759259259259" style="1" customWidth="1"/>
    <col min="3" max="3" width="89" style="1" customWidth="1"/>
    <col min="4" max="4" width="22.1759259259259" style="1" customWidth="1"/>
    <col min="5" max="5" width="8.81481481481481" style="1"/>
    <col min="6" max="6" width="14.4537037037037" style="1" customWidth="1"/>
    <col min="7" max="7" width="26" style="1" customWidth="1"/>
    <col min="8" max="8" width="12.7222222222222" style="15" customWidth="1"/>
    <col min="9" max="16384" width="8.81481481481481" style="1"/>
  </cols>
  <sheetData>
    <row r="2" spans="2:4">
      <c r="B2" s="7"/>
      <c r="C2" s="7" t="s">
        <v>678</v>
      </c>
      <c r="D2" s="12"/>
    </row>
    <row r="3" spans="2:4">
      <c r="B3" s="12"/>
      <c r="C3" s="12"/>
      <c r="D3" s="149"/>
    </row>
    <row r="4" spans="2:4">
      <c r="B4" s="12"/>
      <c r="C4" s="93" t="s">
        <v>679</v>
      </c>
      <c r="D4" s="32"/>
    </row>
    <row r="5" spans="2:4">
      <c r="B5" s="7" t="s">
        <v>147</v>
      </c>
      <c r="C5" s="7" t="s">
        <v>5</v>
      </c>
      <c r="D5" s="150" t="s">
        <v>680</v>
      </c>
    </row>
    <row r="6" spans="2:4">
      <c r="B6" s="11" t="s">
        <v>24</v>
      </c>
      <c r="C6" s="12" t="s">
        <v>25</v>
      </c>
      <c r="D6" s="151">
        <v>719904.99780962</v>
      </c>
    </row>
    <row r="7" spans="2:4">
      <c r="B7" s="11" t="s">
        <v>28</v>
      </c>
      <c r="C7" s="12" t="s">
        <v>29</v>
      </c>
      <c r="D7" s="151">
        <v>508271.84798402</v>
      </c>
    </row>
    <row r="8" spans="2:4">
      <c r="B8" s="11" t="s">
        <v>40</v>
      </c>
      <c r="C8" s="12" t="s">
        <v>41</v>
      </c>
      <c r="D8" s="151">
        <v>157634.948094828</v>
      </c>
    </row>
    <row r="9" spans="2:4">
      <c r="B9" s="11" t="s">
        <v>44</v>
      </c>
      <c r="C9" s="12" t="s">
        <v>45</v>
      </c>
      <c r="D9" s="151">
        <v>128180.16838995</v>
      </c>
    </row>
    <row r="10" spans="2:4">
      <c r="B10" s="11" t="s">
        <v>60</v>
      </c>
      <c r="C10" s="12" t="s">
        <v>61</v>
      </c>
      <c r="D10" s="151">
        <v>80053.77231383</v>
      </c>
    </row>
    <row r="11" spans="2:4">
      <c r="B11" s="959" t="s">
        <v>681</v>
      </c>
      <c r="C11" s="12" t="s">
        <v>682</v>
      </c>
      <c r="D11" s="151">
        <v>27302.61799751</v>
      </c>
    </row>
    <row r="12" spans="2:4">
      <c r="B12" s="11" t="s">
        <v>683</v>
      </c>
      <c r="C12" s="12" t="s">
        <v>684</v>
      </c>
      <c r="D12" s="151">
        <v>17590.41420386</v>
      </c>
    </row>
    <row r="13" spans="2:4">
      <c r="B13" s="959" t="s">
        <v>507</v>
      </c>
      <c r="C13" s="12" t="s">
        <v>508</v>
      </c>
      <c r="D13" s="151">
        <v>16857.46913536</v>
      </c>
    </row>
    <row r="14" spans="2:4">
      <c r="B14" s="959" t="s">
        <v>527</v>
      </c>
      <c r="C14" s="12" t="s">
        <v>528</v>
      </c>
      <c r="D14" s="151">
        <v>14691.94917007</v>
      </c>
    </row>
    <row r="15" spans="2:4">
      <c r="B15" s="11" t="s">
        <v>685</v>
      </c>
      <c r="C15" s="12" t="s">
        <v>686</v>
      </c>
      <c r="D15" s="151">
        <v>10669.29846255</v>
      </c>
    </row>
    <row r="16" spans="2:4">
      <c r="B16" s="11" t="s">
        <v>687</v>
      </c>
      <c r="C16" s="12" t="s">
        <v>688</v>
      </c>
      <c r="D16" s="151">
        <v>2625.84002551</v>
      </c>
    </row>
    <row r="17" spans="2:4">
      <c r="B17" s="959" t="s">
        <v>573</v>
      </c>
      <c r="C17" s="12" t="s">
        <v>574</v>
      </c>
      <c r="D17" s="151">
        <v>2439.54304038</v>
      </c>
    </row>
    <row r="18" spans="2:4">
      <c r="B18" s="959" t="s">
        <v>689</v>
      </c>
      <c r="C18" s="12" t="s">
        <v>690</v>
      </c>
      <c r="D18" s="151">
        <v>2306.08316235</v>
      </c>
    </row>
    <row r="19" spans="2:4">
      <c r="B19" s="11" t="s">
        <v>691</v>
      </c>
      <c r="C19" s="12" t="s">
        <v>692</v>
      </c>
      <c r="D19" s="151">
        <v>1683.27138671</v>
      </c>
    </row>
    <row r="20" spans="2:4">
      <c r="B20" s="959" t="s">
        <v>693</v>
      </c>
      <c r="C20" s="12" t="s">
        <v>694</v>
      </c>
      <c r="D20" s="151">
        <v>1637.39946992</v>
      </c>
    </row>
    <row r="21" spans="2:4">
      <c r="B21" s="959" t="s">
        <v>695</v>
      </c>
      <c r="C21" s="12" t="s">
        <v>696</v>
      </c>
      <c r="D21" s="151">
        <v>1053.18079669</v>
      </c>
    </row>
    <row r="22" spans="2:4">
      <c r="B22" s="959" t="s">
        <v>697</v>
      </c>
      <c r="C22" s="12" t="s">
        <v>698</v>
      </c>
      <c r="D22" s="151">
        <v>1004.69366638</v>
      </c>
    </row>
    <row r="23" spans="2:4">
      <c r="B23" s="959" t="s">
        <v>699</v>
      </c>
      <c r="C23" s="12" t="s">
        <v>700</v>
      </c>
      <c r="D23" s="151">
        <v>960.1055585</v>
      </c>
    </row>
    <row r="24" spans="2:4">
      <c r="B24" s="959" t="s">
        <v>701</v>
      </c>
      <c r="C24" s="12" t="s">
        <v>702</v>
      </c>
      <c r="D24" s="151">
        <v>820.29575996</v>
      </c>
    </row>
    <row r="25" spans="2:4">
      <c r="B25" s="11" t="s">
        <v>703</v>
      </c>
      <c r="C25" s="12" t="s">
        <v>704</v>
      </c>
      <c r="D25" s="151">
        <v>819.94459556</v>
      </c>
    </row>
    <row r="26" spans="4:4">
      <c r="D26" s="18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workbookViewId="0">
      <selection activeCell="G13" sqref="G13"/>
    </sheetView>
  </sheetViews>
  <sheetFormatPr defaultColWidth="9" defaultRowHeight="14.4"/>
  <cols>
    <col min="1" max="1" width="10.1759259259259" style="135" customWidth="1"/>
    <col min="2" max="2" width="28.2685185185185" style="135" customWidth="1"/>
    <col min="3" max="3" width="15.2685185185185" style="135" customWidth="1"/>
    <col min="4" max="4" width="14.4537037037037" style="136" customWidth="1"/>
    <col min="5" max="5" width="14.7222222222222" style="136" customWidth="1"/>
    <col min="6" max="6" width="18" style="136" customWidth="1"/>
    <col min="7" max="7" width="15.7222222222222" style="136" customWidth="1"/>
    <col min="8" max="8" width="14.2685185185185" customWidth="1"/>
    <col min="9" max="9" width="13.4537037037037" customWidth="1"/>
    <col min="10" max="11" width="13.2685185185185" customWidth="1"/>
  </cols>
  <sheetData>
    <row r="1" ht="15.6" spans="2:7">
      <c r="B1" s="127" t="s">
        <v>705</v>
      </c>
      <c r="C1" s="127"/>
      <c r="D1" s="127"/>
      <c r="E1" s="127"/>
      <c r="F1" s="127"/>
      <c r="G1" s="127"/>
    </row>
    <row r="2" ht="15.6" spans="2:7">
      <c r="B2" s="128" t="s">
        <v>706</v>
      </c>
      <c r="C2" s="128" t="s">
        <v>707</v>
      </c>
      <c r="D2" s="137" t="s">
        <v>661</v>
      </c>
      <c r="E2" s="137" t="s">
        <v>662</v>
      </c>
      <c r="F2" s="137" t="s">
        <v>663</v>
      </c>
      <c r="G2" s="137" t="s">
        <v>664</v>
      </c>
    </row>
    <row r="3" ht="15.6" spans="2:9">
      <c r="B3" s="128" t="s">
        <v>708</v>
      </c>
      <c r="C3" s="138" t="s">
        <v>354</v>
      </c>
      <c r="D3" s="139">
        <v>6791847.34638656</v>
      </c>
      <c r="E3" s="139">
        <v>7014759.68697943</v>
      </c>
      <c r="F3" s="140">
        <v>6791873.71927365</v>
      </c>
      <c r="G3" s="139">
        <v>20598480.7526396</v>
      </c>
      <c r="H3" s="141"/>
      <c r="I3" s="141"/>
    </row>
    <row r="4" ht="15.6" spans="2:8">
      <c r="B4" s="131"/>
      <c r="C4" s="132" t="s">
        <v>709</v>
      </c>
      <c r="D4" s="142">
        <v>745322.501025757</v>
      </c>
      <c r="E4" s="142">
        <v>524385.599791391</v>
      </c>
      <c r="F4" s="143">
        <v>584776.663064755</v>
      </c>
      <c r="G4" s="144">
        <v>1854484.7638819</v>
      </c>
      <c r="H4" s="145"/>
    </row>
    <row r="5" ht="15.6" spans="2:11">
      <c r="B5" s="131"/>
      <c r="C5" s="132" t="s">
        <v>710</v>
      </c>
      <c r="D5" s="142">
        <v>819318.41957401</v>
      </c>
      <c r="E5" s="142">
        <v>1258855.58588704</v>
      </c>
      <c r="F5" s="143">
        <v>1251280.52423132</v>
      </c>
      <c r="G5" s="144">
        <v>3329454.52969237</v>
      </c>
      <c r="H5" s="145"/>
      <c r="I5" s="39"/>
      <c r="J5" s="39"/>
      <c r="K5" s="39"/>
    </row>
    <row r="6" ht="15.6" spans="2:11">
      <c r="B6" s="131"/>
      <c r="C6" s="132" t="s">
        <v>711</v>
      </c>
      <c r="D6" s="142">
        <v>1792141.13992673</v>
      </c>
      <c r="E6" s="142">
        <v>2224193.68522395</v>
      </c>
      <c r="F6" s="143">
        <v>2737485.27544173</v>
      </c>
      <c r="G6" s="144">
        <v>6753820.10059241</v>
      </c>
      <c r="H6" s="145"/>
      <c r="I6" s="39"/>
      <c r="J6" s="39"/>
      <c r="K6" s="39"/>
    </row>
    <row r="7" ht="15.6" spans="2:11">
      <c r="B7" s="131"/>
      <c r="C7" s="132" t="s">
        <v>712</v>
      </c>
      <c r="D7" s="142">
        <v>3431455.13835849</v>
      </c>
      <c r="E7" s="142">
        <v>2999042.3904263</v>
      </c>
      <c r="F7" s="143">
        <v>2212364.46151825</v>
      </c>
      <c r="G7" s="143">
        <v>8642861.99030304</v>
      </c>
      <c r="H7" s="145"/>
      <c r="I7" s="39"/>
      <c r="J7" s="39"/>
      <c r="K7" s="39"/>
    </row>
    <row r="8" ht="15.6" spans="1:11">
      <c r="A8" s="146"/>
      <c r="B8" s="131"/>
      <c r="C8" s="132" t="s">
        <v>713</v>
      </c>
      <c r="D8" s="142">
        <v>3610.14750157</v>
      </c>
      <c r="E8" s="142">
        <v>8282.42565075</v>
      </c>
      <c r="F8" s="143">
        <v>5966.7950176</v>
      </c>
      <c r="G8" s="144">
        <v>17859.36816992</v>
      </c>
      <c r="H8" s="145"/>
      <c r="I8" s="39"/>
      <c r="J8" s="39"/>
      <c r="K8" s="39"/>
    </row>
    <row r="9" ht="15.6" spans="2:11">
      <c r="B9" s="128" t="s">
        <v>666</v>
      </c>
      <c r="C9" s="138" t="s">
        <v>354</v>
      </c>
      <c r="D9" s="139">
        <v>636319.34187285</v>
      </c>
      <c r="E9" s="139">
        <v>582138.00422813</v>
      </c>
      <c r="F9" s="140">
        <v>485687.738356967</v>
      </c>
      <c r="G9" s="139">
        <v>1704145.08445795</v>
      </c>
      <c r="H9" s="145"/>
      <c r="I9" s="39"/>
      <c r="J9" s="39"/>
      <c r="K9" s="39"/>
    </row>
    <row r="10" ht="15.6" spans="2:11">
      <c r="B10" s="132"/>
      <c r="C10" s="132" t="s">
        <v>709</v>
      </c>
      <c r="D10" s="13">
        <v>1691.44861077</v>
      </c>
      <c r="E10" s="13">
        <v>1345.72652105</v>
      </c>
      <c r="F10" s="78">
        <v>1715.11006013</v>
      </c>
      <c r="G10" s="144">
        <v>4752.28519195</v>
      </c>
      <c r="H10" s="145"/>
      <c r="I10" s="39"/>
      <c r="J10" s="39"/>
      <c r="K10" s="39"/>
    </row>
    <row r="11" ht="15.6" spans="1:11">
      <c r="A11" s="146"/>
      <c r="B11" s="132"/>
      <c r="C11" s="132" t="s">
        <v>710</v>
      </c>
      <c r="D11" s="13">
        <v>33158.2516553</v>
      </c>
      <c r="E11" s="13">
        <v>64236.40859196</v>
      </c>
      <c r="F11" s="78">
        <v>41975.71447286</v>
      </c>
      <c r="G11" s="144">
        <v>139370.37472012</v>
      </c>
      <c r="H11" s="145"/>
      <c r="I11" s="39"/>
      <c r="J11" s="39"/>
      <c r="K11" s="39"/>
    </row>
    <row r="12" ht="15.6" spans="2:11">
      <c r="B12" s="132"/>
      <c r="C12" s="132" t="s">
        <v>711</v>
      </c>
      <c r="D12" s="13">
        <v>112431.03760612</v>
      </c>
      <c r="E12" s="13">
        <v>125938.44196404</v>
      </c>
      <c r="F12" s="78">
        <v>192776.250993627</v>
      </c>
      <c r="G12" s="144">
        <v>431145.730563787</v>
      </c>
      <c r="H12" s="145"/>
      <c r="I12" s="39"/>
      <c r="J12" s="39"/>
      <c r="K12" s="39"/>
    </row>
    <row r="13" ht="15.6" spans="2:8">
      <c r="B13" s="132"/>
      <c r="C13" s="132" t="s">
        <v>712</v>
      </c>
      <c r="D13" s="13">
        <v>489038.60400066</v>
      </c>
      <c r="E13" s="13">
        <v>390617.42715108</v>
      </c>
      <c r="F13" s="78">
        <v>249097.57066996</v>
      </c>
      <c r="G13" s="144">
        <v>1128753.6018217</v>
      </c>
      <c r="H13" s="145"/>
    </row>
    <row r="14" ht="15.6" spans="2:8">
      <c r="B14" s="132"/>
      <c r="C14" s="132" t="s">
        <v>713</v>
      </c>
      <c r="D14" s="13">
        <v>0</v>
      </c>
      <c r="E14" s="13">
        <v>0</v>
      </c>
      <c r="F14" s="78">
        <v>123.09216039</v>
      </c>
      <c r="G14" s="144">
        <v>123.09216039</v>
      </c>
      <c r="H14" s="145"/>
    </row>
    <row r="15" ht="15.6" spans="2:10">
      <c r="B15" s="128" t="s">
        <v>667</v>
      </c>
      <c r="C15" s="138" t="s">
        <v>354</v>
      </c>
      <c r="D15" s="139">
        <v>462400.75941592</v>
      </c>
      <c r="E15" s="139">
        <v>287333.58941436</v>
      </c>
      <c r="F15" s="140">
        <v>294856.82783916</v>
      </c>
      <c r="G15" s="139">
        <v>1044591.17666944</v>
      </c>
      <c r="H15" s="145"/>
      <c r="I15" s="148"/>
      <c r="J15" s="148"/>
    </row>
    <row r="16" ht="15.6" spans="2:10">
      <c r="B16" s="132"/>
      <c r="C16" s="132" t="s">
        <v>709</v>
      </c>
      <c r="D16" s="13">
        <v>28291.31201331</v>
      </c>
      <c r="E16" s="13">
        <v>8438.92236091</v>
      </c>
      <c r="F16" s="78">
        <v>17309.00882717</v>
      </c>
      <c r="G16" s="144">
        <v>54039.24320139</v>
      </c>
      <c r="H16" s="145"/>
      <c r="I16" s="148"/>
      <c r="J16" s="148"/>
    </row>
    <row r="17" ht="15.6" spans="2:10">
      <c r="B17" s="132"/>
      <c r="C17" s="132" t="s">
        <v>710</v>
      </c>
      <c r="D17" s="13">
        <v>268509.91291631</v>
      </c>
      <c r="E17" s="13">
        <v>167805.82727175</v>
      </c>
      <c r="F17" s="78">
        <v>196830.83825957</v>
      </c>
      <c r="G17" s="144">
        <v>633146.57844763</v>
      </c>
      <c r="H17" s="145"/>
      <c r="I17" s="148"/>
      <c r="J17" s="148"/>
    </row>
    <row r="18" ht="15.6" spans="2:10">
      <c r="B18" s="132"/>
      <c r="C18" s="132" t="s">
        <v>711</v>
      </c>
      <c r="D18" s="13">
        <v>107236.12422071</v>
      </c>
      <c r="E18" s="13">
        <v>53871.56492234</v>
      </c>
      <c r="F18" s="78">
        <v>34729.56199598</v>
      </c>
      <c r="G18" s="144">
        <v>195837.25113903</v>
      </c>
      <c r="H18" s="145"/>
      <c r="I18" s="148"/>
      <c r="J18" s="148"/>
    </row>
    <row r="19" ht="15.6" spans="2:8">
      <c r="B19" s="132"/>
      <c r="C19" s="132" t="s">
        <v>712</v>
      </c>
      <c r="D19" s="13">
        <v>55656.60378359</v>
      </c>
      <c r="E19" s="13">
        <v>55154.41323465</v>
      </c>
      <c r="F19" s="78">
        <v>43558.73846902</v>
      </c>
      <c r="G19" s="144">
        <v>154369.75548726</v>
      </c>
      <c r="H19" s="145"/>
    </row>
    <row r="20" ht="15.6" spans="2:8">
      <c r="B20" s="132"/>
      <c r="C20" s="132" t="s">
        <v>713</v>
      </c>
      <c r="D20" s="13">
        <v>2706.806482</v>
      </c>
      <c r="E20" s="13">
        <v>2062.86162471</v>
      </c>
      <c r="F20" s="78">
        <v>2428.68028742</v>
      </c>
      <c r="G20" s="144">
        <v>7198.34839413</v>
      </c>
      <c r="H20" s="145"/>
    </row>
    <row r="21" ht="15.6" spans="2:8">
      <c r="B21" s="128" t="s">
        <v>668</v>
      </c>
      <c r="C21" s="138" t="s">
        <v>354</v>
      </c>
      <c r="D21" s="139">
        <v>23800.07550449</v>
      </c>
      <c r="E21" s="139">
        <v>12400.94045075</v>
      </c>
      <c r="F21" s="140">
        <v>22664.85465259</v>
      </c>
      <c r="G21" s="139">
        <v>58865.87060783</v>
      </c>
      <c r="H21" s="145"/>
    </row>
    <row r="22" ht="15.6" spans="2:8">
      <c r="B22" s="132"/>
      <c r="C22" s="132" t="s">
        <v>709</v>
      </c>
      <c r="D22" s="13">
        <v>13385.08606214</v>
      </c>
      <c r="E22" s="13">
        <v>7086.84465111</v>
      </c>
      <c r="F22" s="78">
        <v>10293.24527514</v>
      </c>
      <c r="G22" s="144">
        <v>30765.17598839</v>
      </c>
      <c r="H22" s="145"/>
    </row>
    <row r="23" ht="15.6" spans="2:8">
      <c r="B23" s="132"/>
      <c r="C23" s="132" t="s">
        <v>710</v>
      </c>
      <c r="D23" s="13">
        <v>0</v>
      </c>
      <c r="E23" s="13">
        <v>0</v>
      </c>
      <c r="F23" s="78">
        <v>0</v>
      </c>
      <c r="G23" s="144">
        <v>0</v>
      </c>
      <c r="H23" s="145"/>
    </row>
    <row r="24" ht="15.6" spans="2:8">
      <c r="B24" s="132"/>
      <c r="C24" s="132" t="s">
        <v>711</v>
      </c>
      <c r="D24" s="13">
        <v>10389.59749755</v>
      </c>
      <c r="E24" s="13">
        <v>5314.09579964</v>
      </c>
      <c r="F24" s="78">
        <v>12346.93277245</v>
      </c>
      <c r="G24" s="144">
        <v>28050.62606964</v>
      </c>
      <c r="H24" s="145"/>
    </row>
    <row r="25" ht="15.6" spans="2:8">
      <c r="B25" s="132"/>
      <c r="C25" s="132" t="s">
        <v>712</v>
      </c>
      <c r="D25" s="13">
        <v>25.3919448</v>
      </c>
      <c r="E25" s="13">
        <v>0</v>
      </c>
      <c r="F25" s="78">
        <v>24.676605</v>
      </c>
      <c r="G25" s="144">
        <v>50.0685498</v>
      </c>
      <c r="H25" s="145"/>
    </row>
    <row r="26" ht="15.6" spans="2:8">
      <c r="B26" s="132"/>
      <c r="C26" s="132" t="s">
        <v>713</v>
      </c>
      <c r="D26" s="13">
        <v>0</v>
      </c>
      <c r="E26" s="13">
        <v>0</v>
      </c>
      <c r="F26" s="78">
        <v>0</v>
      </c>
      <c r="G26" s="144">
        <v>0</v>
      </c>
      <c r="H26" s="145"/>
    </row>
    <row r="27" ht="15.6" spans="2:8">
      <c r="B27" s="128" t="s">
        <v>669</v>
      </c>
      <c r="C27" s="138" t="s">
        <v>354</v>
      </c>
      <c r="D27" s="139">
        <v>20698.951238447</v>
      </c>
      <c r="E27" s="139">
        <v>20369.326605311</v>
      </c>
      <c r="F27" s="140">
        <v>24778.1236431</v>
      </c>
      <c r="G27" s="139">
        <v>65846.401486858</v>
      </c>
      <c r="H27" s="145"/>
    </row>
    <row r="28" ht="15.6" spans="2:8">
      <c r="B28" s="132"/>
      <c r="C28" s="132" t="s">
        <v>709</v>
      </c>
      <c r="D28" s="13">
        <v>20610.587047947</v>
      </c>
      <c r="E28" s="13">
        <v>20317.070265311</v>
      </c>
      <c r="F28" s="78">
        <v>24721.7323986</v>
      </c>
      <c r="G28" s="144">
        <v>65649.389711858</v>
      </c>
      <c r="H28" s="145"/>
    </row>
    <row r="29" ht="15.6" spans="2:8">
      <c r="B29" s="132"/>
      <c r="C29" s="132" t="s">
        <v>710</v>
      </c>
      <c r="D29" s="13">
        <v>0</v>
      </c>
      <c r="E29" s="13">
        <v>0</v>
      </c>
      <c r="F29" s="78">
        <v>0</v>
      </c>
      <c r="G29" s="144">
        <v>0</v>
      </c>
      <c r="H29" s="145"/>
    </row>
    <row r="30" ht="15.6" spans="2:8">
      <c r="B30" s="132"/>
      <c r="C30" s="132" t="s">
        <v>711</v>
      </c>
      <c r="D30" s="13">
        <v>67.44188</v>
      </c>
      <c r="E30" s="13">
        <v>0</v>
      </c>
      <c r="F30" s="78">
        <v>27.3599445</v>
      </c>
      <c r="G30" s="144">
        <v>94.8018245</v>
      </c>
      <c r="H30" s="145"/>
    </row>
    <row r="31" ht="15.6" spans="2:8">
      <c r="B31" s="132"/>
      <c r="C31" s="132" t="s">
        <v>712</v>
      </c>
      <c r="D31" s="13">
        <v>20.9223105</v>
      </c>
      <c r="E31" s="13">
        <v>52.25634</v>
      </c>
      <c r="F31" s="78">
        <v>29.0313</v>
      </c>
      <c r="G31" s="144">
        <v>102.2099505</v>
      </c>
      <c r="H31" s="145"/>
    </row>
    <row r="32" ht="15.6" spans="2:8">
      <c r="B32" s="132"/>
      <c r="C32" s="132" t="s">
        <v>713</v>
      </c>
      <c r="D32" s="13">
        <v>0</v>
      </c>
      <c r="E32" s="13">
        <v>0</v>
      </c>
      <c r="F32" s="78">
        <v>0</v>
      </c>
      <c r="G32" s="144">
        <v>0</v>
      </c>
      <c r="H32" s="145"/>
    </row>
    <row r="33" ht="15.6" spans="2:10">
      <c r="B33" s="128" t="s">
        <v>670</v>
      </c>
      <c r="C33" s="138" t="s">
        <v>354</v>
      </c>
      <c r="D33" s="139">
        <v>84482.07122944</v>
      </c>
      <c r="E33" s="139">
        <v>62485.56702461</v>
      </c>
      <c r="F33" s="140">
        <v>147459.654191035</v>
      </c>
      <c r="G33" s="139">
        <v>294427.292445085</v>
      </c>
      <c r="H33" s="145"/>
      <c r="I33" s="39"/>
      <c r="J33" s="39"/>
    </row>
    <row r="34" ht="15.6" spans="2:10">
      <c r="B34" s="132"/>
      <c r="C34" s="132" t="s">
        <v>709</v>
      </c>
      <c r="D34" s="13">
        <v>32224.77683312</v>
      </c>
      <c r="E34" s="13">
        <v>20955.29140177</v>
      </c>
      <c r="F34" s="78">
        <v>29947.880964735</v>
      </c>
      <c r="G34" s="144">
        <v>83127.949199625</v>
      </c>
      <c r="H34" s="145"/>
      <c r="I34" s="148"/>
      <c r="J34" s="148"/>
    </row>
    <row r="35" ht="15.6" spans="2:10">
      <c r="B35" s="132"/>
      <c r="C35" s="132" t="s">
        <v>710</v>
      </c>
      <c r="D35" s="13">
        <v>8533.45927056</v>
      </c>
      <c r="E35" s="13">
        <v>10882.57244547</v>
      </c>
      <c r="F35" s="78">
        <v>12361.23215867</v>
      </c>
      <c r="G35" s="144">
        <v>31777.2638747</v>
      </c>
      <c r="H35" s="145"/>
      <c r="I35" s="148"/>
      <c r="J35" s="148"/>
    </row>
    <row r="36" ht="15.6" spans="2:10">
      <c r="B36" s="132"/>
      <c r="C36" s="132" t="s">
        <v>711</v>
      </c>
      <c r="D36" s="13">
        <v>26814.50399616</v>
      </c>
      <c r="E36" s="13">
        <v>23548.34247707</v>
      </c>
      <c r="F36" s="78">
        <v>52975.84738009</v>
      </c>
      <c r="G36" s="144">
        <v>103338.69385332</v>
      </c>
      <c r="H36" s="145"/>
      <c r="I36" s="148"/>
      <c r="J36" s="148"/>
    </row>
    <row r="37" ht="15.6" spans="2:10">
      <c r="B37" s="132"/>
      <c r="C37" s="132" t="s">
        <v>712</v>
      </c>
      <c r="D37" s="13">
        <v>16806.18138933</v>
      </c>
      <c r="E37" s="13">
        <v>6982.68552916</v>
      </c>
      <c r="F37" s="78">
        <v>51922.20463985</v>
      </c>
      <c r="G37" s="144">
        <v>75711.07155834</v>
      </c>
      <c r="H37" s="145"/>
      <c r="I37" s="148"/>
      <c r="J37" s="148"/>
    </row>
    <row r="38" ht="15.6" spans="2:8">
      <c r="B38" s="132"/>
      <c r="C38" s="132" t="s">
        <v>713</v>
      </c>
      <c r="D38" s="13">
        <v>103.14974027</v>
      </c>
      <c r="E38" s="13">
        <v>116.67517114</v>
      </c>
      <c r="F38" s="78">
        <v>252.48904769</v>
      </c>
      <c r="G38" s="144">
        <v>472.3139591</v>
      </c>
      <c r="H38" s="145"/>
    </row>
    <row r="39" ht="15.6" spans="2:8">
      <c r="B39" s="128" t="s">
        <v>714</v>
      </c>
      <c r="C39" s="138" t="s">
        <v>354</v>
      </c>
      <c r="D39" s="139">
        <v>4206403.27270936</v>
      </c>
      <c r="E39" s="139">
        <v>4291523.90575292</v>
      </c>
      <c r="F39" s="140">
        <v>4457101.02400452</v>
      </c>
      <c r="G39" s="139">
        <v>12955028.2024668</v>
      </c>
      <c r="H39" s="145"/>
    </row>
    <row r="40" ht="15.6" spans="2:8">
      <c r="B40" s="132"/>
      <c r="C40" s="132" t="s">
        <v>709</v>
      </c>
      <c r="D40" s="13">
        <v>648045.97514444</v>
      </c>
      <c r="E40" s="13">
        <v>390707.24293789</v>
      </c>
      <c r="F40" s="78">
        <v>448413.2611832</v>
      </c>
      <c r="G40" s="144">
        <v>1487166.47926553</v>
      </c>
      <c r="H40" s="145"/>
    </row>
    <row r="41" ht="15.6" spans="2:8">
      <c r="B41" s="132"/>
      <c r="C41" s="132" t="s">
        <v>710</v>
      </c>
      <c r="D41" s="13">
        <v>412257.59416706</v>
      </c>
      <c r="E41" s="13">
        <v>669068.96803975</v>
      </c>
      <c r="F41" s="78">
        <v>952564.38507501</v>
      </c>
      <c r="G41" s="144">
        <v>2033890.94728182</v>
      </c>
      <c r="H41" s="145"/>
    </row>
    <row r="42" ht="15.6" spans="2:8">
      <c r="B42" s="132"/>
      <c r="C42" s="132" t="s">
        <v>711</v>
      </c>
      <c r="D42" s="13">
        <v>950315.98698761</v>
      </c>
      <c r="E42" s="13">
        <v>975037.44650645</v>
      </c>
      <c r="F42" s="78">
        <v>1669553.69704708</v>
      </c>
      <c r="G42" s="144">
        <v>3594907.13054114</v>
      </c>
      <c r="H42" s="145"/>
    </row>
    <row r="43" ht="15.6" spans="2:8">
      <c r="B43" s="132"/>
      <c r="C43" s="132" t="s">
        <v>712</v>
      </c>
      <c r="D43" s="13">
        <v>2195783.71641025</v>
      </c>
      <c r="E43" s="13">
        <v>2256710.24826883</v>
      </c>
      <c r="F43" s="78">
        <v>1386569.68069923</v>
      </c>
      <c r="G43" s="78">
        <v>5839063.64537831</v>
      </c>
      <c r="H43" s="145"/>
    </row>
    <row r="44" ht="15.6" spans="2:10">
      <c r="B44" s="132"/>
      <c r="C44" s="132" t="s">
        <v>713</v>
      </c>
      <c r="D44" s="13">
        <v>0</v>
      </c>
      <c r="E44" s="13">
        <v>0</v>
      </c>
      <c r="F44" s="78">
        <v>0</v>
      </c>
      <c r="G44" s="144">
        <v>0</v>
      </c>
      <c r="H44" s="145"/>
      <c r="I44" s="39"/>
      <c r="J44" s="39"/>
    </row>
    <row r="45" ht="15.6" spans="2:10">
      <c r="B45" s="128" t="s">
        <v>715</v>
      </c>
      <c r="C45" s="138" t="s">
        <v>354</v>
      </c>
      <c r="D45" s="139">
        <v>1357742.87441605</v>
      </c>
      <c r="E45" s="139">
        <v>1758508.35350335</v>
      </c>
      <c r="F45" s="140">
        <v>1359325.49658628</v>
      </c>
      <c r="G45" s="139">
        <v>4475576.72450568</v>
      </c>
      <c r="H45" s="145"/>
      <c r="I45" s="39"/>
      <c r="J45" s="39"/>
    </row>
    <row r="46" ht="15.6" spans="2:8">
      <c r="B46" s="132"/>
      <c r="C46" s="132" t="s">
        <v>709</v>
      </c>
      <c r="D46" s="13">
        <v>1073.31531403</v>
      </c>
      <c r="E46" s="13">
        <v>75534.50165335</v>
      </c>
      <c r="F46" s="78">
        <v>52376.42435578</v>
      </c>
      <c r="G46" s="144">
        <v>128984.24132316</v>
      </c>
      <c r="H46" s="145"/>
    </row>
    <row r="47" ht="15.6" spans="2:8">
      <c r="B47" s="132"/>
      <c r="C47" s="132" t="s">
        <v>710</v>
      </c>
      <c r="D47" s="13">
        <v>96859.20156478</v>
      </c>
      <c r="E47" s="13">
        <v>346861.80953811</v>
      </c>
      <c r="F47" s="78">
        <v>47548.35426521</v>
      </c>
      <c r="G47" s="144">
        <v>491269.3653681</v>
      </c>
      <c r="H47" s="145"/>
    </row>
    <row r="48" ht="15.6" spans="2:8">
      <c r="B48" s="132"/>
      <c r="C48" s="132" t="s">
        <v>711</v>
      </c>
      <c r="D48" s="13">
        <v>584886.44773858</v>
      </c>
      <c r="E48" s="13">
        <v>1040483.79355441</v>
      </c>
      <c r="F48" s="78">
        <v>775075.625308</v>
      </c>
      <c r="G48" s="144">
        <v>2400445.86660099</v>
      </c>
      <c r="H48" s="145"/>
    </row>
    <row r="49" ht="15.6" spans="2:8">
      <c r="B49" s="132"/>
      <c r="C49" s="132" t="s">
        <v>712</v>
      </c>
      <c r="D49" s="13">
        <v>674123.71851936</v>
      </c>
      <c r="E49" s="13">
        <v>289525.35990258</v>
      </c>
      <c r="F49" s="78">
        <v>481162.55913519</v>
      </c>
      <c r="G49" s="144">
        <v>1444811.63755713</v>
      </c>
      <c r="H49" s="145"/>
    </row>
    <row r="50" ht="15.6" spans="2:8">
      <c r="B50" s="132"/>
      <c r="C50" s="132" t="s">
        <v>713</v>
      </c>
      <c r="D50" s="13">
        <v>800.1912793</v>
      </c>
      <c r="E50" s="13">
        <v>6102.8888549</v>
      </c>
      <c r="F50" s="78">
        <v>3162.5335221</v>
      </c>
      <c r="G50" s="144">
        <v>10065.6136563</v>
      </c>
      <c r="H50" s="145"/>
    </row>
    <row r="59" spans="4:7">
      <c r="D59" s="147"/>
      <c r="E59" s="147"/>
      <c r="F59" s="147"/>
      <c r="G59" s="147"/>
    </row>
    <row r="60" spans="4:7">
      <c r="D60" s="147"/>
      <c r="E60" s="147"/>
      <c r="F60" s="147"/>
      <c r="G60" s="147"/>
    </row>
    <row r="61" spans="4:7">
      <c r="D61" s="147"/>
      <c r="E61" s="147"/>
      <c r="F61" s="147"/>
      <c r="G61" s="147"/>
    </row>
    <row r="62" spans="4:7">
      <c r="D62" s="147"/>
      <c r="E62" s="147"/>
      <c r="F62" s="147"/>
      <c r="G62" s="147"/>
    </row>
    <row r="63" spans="4:7">
      <c r="D63" s="147"/>
      <c r="E63" s="147"/>
      <c r="F63" s="147"/>
      <c r="G63" s="147"/>
    </row>
  </sheetData>
  <mergeCells count="1">
    <mergeCell ref="B1:G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2"/>
  <sheetViews>
    <sheetView workbookViewId="0">
      <selection activeCell="G14" sqref="G14"/>
    </sheetView>
  </sheetViews>
  <sheetFormatPr defaultColWidth="8.81481481481481" defaultRowHeight="15.6" outlineLevelCol="7"/>
  <cols>
    <col min="1" max="1" width="9.17592592592593" style="125" customWidth="1"/>
    <col min="2" max="2" width="34.2685185185185" style="125" customWidth="1"/>
    <col min="3" max="3" width="20.2685185185185" style="125" customWidth="1"/>
    <col min="4" max="7" width="19.4537037037037" style="126" customWidth="1"/>
    <col min="8" max="8" width="21.4537037037037" style="1" customWidth="1"/>
    <col min="9" max="16384" width="8.81481481481481" style="1"/>
  </cols>
  <sheetData>
    <row r="2" spans="2:7">
      <c r="B2" s="127" t="s">
        <v>716</v>
      </c>
      <c r="C2" s="127"/>
      <c r="D2" s="127"/>
      <c r="E2" s="127"/>
      <c r="F2" s="127"/>
      <c r="G2" s="127"/>
    </row>
    <row r="3" spans="2:7">
      <c r="B3" s="128" t="s">
        <v>706</v>
      </c>
      <c r="C3" s="128" t="s">
        <v>717</v>
      </c>
      <c r="D3" s="29" t="s">
        <v>661</v>
      </c>
      <c r="E3" s="29" t="s">
        <v>662</v>
      </c>
      <c r="F3" s="29" t="s">
        <v>663</v>
      </c>
      <c r="G3" s="29" t="s">
        <v>664</v>
      </c>
    </row>
    <row r="4" spans="2:8">
      <c r="B4" s="129" t="s">
        <v>708</v>
      </c>
      <c r="C4" s="130" t="s">
        <v>354</v>
      </c>
      <c r="D4" s="35">
        <v>5493728.4805547</v>
      </c>
      <c r="E4" s="35">
        <v>5134191.14241054</v>
      </c>
      <c r="F4" s="35">
        <v>4798255.12207838</v>
      </c>
      <c r="G4" s="35">
        <v>15426174.7450436</v>
      </c>
      <c r="H4" s="15"/>
    </row>
    <row r="5" spans="2:8">
      <c r="B5" s="131"/>
      <c r="C5" s="132" t="s">
        <v>709</v>
      </c>
      <c r="D5" s="133">
        <v>267364.83404329</v>
      </c>
      <c r="E5" s="133">
        <v>297728.88795562</v>
      </c>
      <c r="F5" s="133">
        <v>436611.34916044</v>
      </c>
      <c r="G5" s="133">
        <v>1001705.07115935</v>
      </c>
      <c r="H5" s="15"/>
    </row>
    <row r="6" spans="2:8">
      <c r="B6" s="131"/>
      <c r="C6" s="132" t="s">
        <v>710</v>
      </c>
      <c r="D6" s="133">
        <v>887869.57386949</v>
      </c>
      <c r="E6" s="133">
        <v>750352.03986179</v>
      </c>
      <c r="F6" s="133">
        <v>653887.49021594</v>
      </c>
      <c r="G6" s="133">
        <v>2292109.10394722</v>
      </c>
      <c r="H6" s="15"/>
    </row>
    <row r="7" spans="2:8">
      <c r="B7" s="131"/>
      <c r="C7" s="132" t="s">
        <v>711</v>
      </c>
      <c r="D7" s="133">
        <v>3313131.40710285</v>
      </c>
      <c r="E7" s="133">
        <v>2917571.97278467</v>
      </c>
      <c r="F7" s="133">
        <v>2542139.361329</v>
      </c>
      <c r="G7" s="133">
        <v>8772842.74121652</v>
      </c>
      <c r="H7" s="15"/>
    </row>
    <row r="8" spans="2:8">
      <c r="B8" s="131"/>
      <c r="C8" s="132" t="s">
        <v>712</v>
      </c>
      <c r="D8" s="133">
        <v>988539.08380107</v>
      </c>
      <c r="E8" s="133">
        <v>1140709.67410446</v>
      </c>
      <c r="F8" s="133">
        <v>1131655.775382</v>
      </c>
      <c r="G8" s="133">
        <v>3260904.53328753</v>
      </c>
      <c r="H8" s="15"/>
    </row>
    <row r="9" spans="2:8">
      <c r="B9" s="131"/>
      <c r="C9" s="132" t="s">
        <v>713</v>
      </c>
      <c r="D9" s="133">
        <v>36823.581738</v>
      </c>
      <c r="E9" s="133">
        <v>27828.567704</v>
      </c>
      <c r="F9" s="133">
        <v>33961.145991</v>
      </c>
      <c r="G9" s="133">
        <v>98613.295433</v>
      </c>
      <c r="H9" s="15"/>
    </row>
    <row r="10" spans="2:7">
      <c r="B10" s="129" t="s">
        <v>666</v>
      </c>
      <c r="C10" s="130" t="s">
        <v>354</v>
      </c>
      <c r="D10" s="35">
        <v>393311.675974</v>
      </c>
      <c r="E10" s="35">
        <v>290947.142371</v>
      </c>
      <c r="F10" s="35">
        <v>351547.74071</v>
      </c>
      <c r="G10" s="35">
        <v>1035806.559055</v>
      </c>
    </row>
    <row r="11" spans="2:7">
      <c r="B11" s="132"/>
      <c r="C11" s="132" t="s">
        <v>709</v>
      </c>
      <c r="D11" s="13">
        <v>17022.681201</v>
      </c>
      <c r="E11" s="13">
        <v>18264.053304</v>
      </c>
      <c r="F11" s="13">
        <v>24367.872788</v>
      </c>
      <c r="G11" s="133">
        <v>59654.607293</v>
      </c>
    </row>
    <row r="12" spans="2:7">
      <c r="B12" s="132"/>
      <c r="C12" s="132" t="s">
        <v>710</v>
      </c>
      <c r="D12" s="13">
        <v>136754.45721</v>
      </c>
      <c r="E12" s="13">
        <v>83201.914797</v>
      </c>
      <c r="F12" s="13">
        <v>91857.451545</v>
      </c>
      <c r="G12" s="133">
        <v>311813.823552</v>
      </c>
    </row>
    <row r="13" spans="2:7">
      <c r="B13" s="132"/>
      <c r="C13" s="132" t="s">
        <v>711</v>
      </c>
      <c r="D13" s="13">
        <v>101412.989204</v>
      </c>
      <c r="E13" s="13">
        <v>76200.866198</v>
      </c>
      <c r="F13" s="13">
        <v>79130.633185</v>
      </c>
      <c r="G13" s="133">
        <v>256744.488587</v>
      </c>
    </row>
    <row r="14" spans="2:7">
      <c r="B14" s="132"/>
      <c r="C14" s="132" t="s">
        <v>712</v>
      </c>
      <c r="D14" s="13">
        <v>137864.840171</v>
      </c>
      <c r="E14" s="13">
        <v>112828.643921</v>
      </c>
      <c r="F14" s="13">
        <v>156058.928695</v>
      </c>
      <c r="G14" s="133">
        <v>406752.412787</v>
      </c>
    </row>
    <row r="15" spans="2:7">
      <c r="B15" s="132"/>
      <c r="C15" s="132" t="s">
        <v>713</v>
      </c>
      <c r="D15" s="13">
        <v>256.708188</v>
      </c>
      <c r="E15" s="13">
        <v>451.664151</v>
      </c>
      <c r="F15" s="13">
        <v>132.854497</v>
      </c>
      <c r="G15" s="133">
        <v>841.226836</v>
      </c>
    </row>
    <row r="16" spans="2:7">
      <c r="B16" s="129" t="s">
        <v>667</v>
      </c>
      <c r="C16" s="130" t="s">
        <v>354</v>
      </c>
      <c r="D16" s="35">
        <v>668988.59507</v>
      </c>
      <c r="E16" s="35">
        <v>548578.04707</v>
      </c>
      <c r="F16" s="35">
        <v>593530.482676</v>
      </c>
      <c r="G16" s="35">
        <v>1811097.124816</v>
      </c>
    </row>
    <row r="17" spans="2:7">
      <c r="B17" s="132"/>
      <c r="C17" s="132" t="s">
        <v>709</v>
      </c>
      <c r="D17" s="13">
        <v>71110.345924</v>
      </c>
      <c r="E17" s="13">
        <v>66559.659536</v>
      </c>
      <c r="F17" s="13">
        <v>88451.25004</v>
      </c>
      <c r="G17" s="133">
        <v>226121.2555</v>
      </c>
    </row>
    <row r="18" spans="2:7">
      <c r="B18" s="132"/>
      <c r="C18" s="132" t="s">
        <v>710</v>
      </c>
      <c r="D18" s="13">
        <v>170160.68879</v>
      </c>
      <c r="E18" s="13">
        <v>150378.778003</v>
      </c>
      <c r="F18" s="13">
        <v>107271.712614</v>
      </c>
      <c r="G18" s="133">
        <v>427811.179407</v>
      </c>
    </row>
    <row r="19" spans="2:7">
      <c r="B19" s="132"/>
      <c r="C19" s="132" t="s">
        <v>711</v>
      </c>
      <c r="D19" s="13">
        <v>318045.78245</v>
      </c>
      <c r="E19" s="13">
        <v>240929.554209</v>
      </c>
      <c r="F19" s="13">
        <v>268092.016878</v>
      </c>
      <c r="G19" s="133">
        <v>827067.353537</v>
      </c>
    </row>
    <row r="20" spans="2:7">
      <c r="B20" s="132"/>
      <c r="C20" s="132" t="s">
        <v>712</v>
      </c>
      <c r="D20" s="13">
        <v>107408.148412</v>
      </c>
      <c r="E20" s="13">
        <v>89837.434011</v>
      </c>
      <c r="F20" s="13">
        <v>128639.561943</v>
      </c>
      <c r="G20" s="133">
        <v>325885.144366</v>
      </c>
    </row>
    <row r="21" spans="2:7">
      <c r="B21" s="132"/>
      <c r="C21" s="132" t="s">
        <v>713</v>
      </c>
      <c r="D21" s="13">
        <v>2263.629494</v>
      </c>
      <c r="E21" s="13">
        <v>872.621311</v>
      </c>
      <c r="F21" s="13">
        <v>1075.941201</v>
      </c>
      <c r="G21" s="133">
        <v>4212.192006</v>
      </c>
    </row>
    <row r="22" spans="2:7">
      <c r="B22" s="129" t="s">
        <v>668</v>
      </c>
      <c r="C22" s="130" t="s">
        <v>354</v>
      </c>
      <c r="D22" s="35">
        <v>37260.057644</v>
      </c>
      <c r="E22" s="35">
        <v>29784.123505</v>
      </c>
      <c r="F22" s="35">
        <v>24733.368819</v>
      </c>
      <c r="G22" s="35">
        <v>91777.549968</v>
      </c>
    </row>
    <row r="23" spans="2:7">
      <c r="B23" s="132"/>
      <c r="C23" s="132" t="s">
        <v>709</v>
      </c>
      <c r="D23" s="13">
        <v>18134.186134</v>
      </c>
      <c r="E23" s="13">
        <v>12485.216786</v>
      </c>
      <c r="F23" s="13">
        <v>13699.951065</v>
      </c>
      <c r="G23" s="133">
        <v>44319.353985</v>
      </c>
    </row>
    <row r="24" spans="2:7">
      <c r="B24" s="132"/>
      <c r="C24" s="132" t="s">
        <v>710</v>
      </c>
      <c r="D24" s="13">
        <v>1600.234355</v>
      </c>
      <c r="E24" s="13">
        <v>3206.487566</v>
      </c>
      <c r="F24" s="13">
        <v>3358.485597</v>
      </c>
      <c r="G24" s="133">
        <v>8165.207518</v>
      </c>
    </row>
    <row r="25" spans="2:7">
      <c r="B25" s="132"/>
      <c r="C25" s="132" t="s">
        <v>711</v>
      </c>
      <c r="D25" s="13">
        <v>6438.071314</v>
      </c>
      <c r="E25" s="13">
        <v>4876.860158</v>
      </c>
      <c r="F25" s="13">
        <v>4776.426499</v>
      </c>
      <c r="G25" s="133">
        <v>16091.357971</v>
      </c>
    </row>
    <row r="26" spans="2:7">
      <c r="B26" s="132"/>
      <c r="C26" s="132" t="s">
        <v>712</v>
      </c>
      <c r="D26" s="13">
        <v>11087.565841</v>
      </c>
      <c r="E26" s="13">
        <v>9215.558995</v>
      </c>
      <c r="F26" s="13">
        <v>2623.494697</v>
      </c>
      <c r="G26" s="133">
        <v>22926.619533</v>
      </c>
    </row>
    <row r="27" spans="2:7">
      <c r="B27" s="132"/>
      <c r="C27" s="132" t="s">
        <v>713</v>
      </c>
      <c r="D27" s="13">
        <v>0</v>
      </c>
      <c r="E27" s="13">
        <v>0</v>
      </c>
      <c r="F27" s="13">
        <v>275.010961</v>
      </c>
      <c r="G27" s="133">
        <v>275.010961</v>
      </c>
    </row>
    <row r="28" spans="2:7">
      <c r="B28" s="129" t="s">
        <v>669</v>
      </c>
      <c r="C28" s="130" t="s">
        <v>354</v>
      </c>
      <c r="D28" s="35">
        <v>44.734347</v>
      </c>
      <c r="E28" s="35">
        <v>0</v>
      </c>
      <c r="F28" s="35">
        <v>1.034731</v>
      </c>
      <c r="G28" s="35">
        <v>45.769078</v>
      </c>
    </row>
    <row r="29" spans="2:7">
      <c r="B29" s="132"/>
      <c r="C29" s="132" t="s">
        <v>709</v>
      </c>
      <c r="D29" s="13">
        <v>0</v>
      </c>
      <c r="E29" s="13">
        <v>0</v>
      </c>
      <c r="F29" s="13">
        <v>1.034731</v>
      </c>
      <c r="G29" s="133">
        <v>1.034731</v>
      </c>
    </row>
    <row r="30" spans="2:7">
      <c r="B30" s="132"/>
      <c r="C30" s="132" t="s">
        <v>710</v>
      </c>
      <c r="D30" s="13">
        <v>0.92769</v>
      </c>
      <c r="E30" s="13">
        <v>0</v>
      </c>
      <c r="F30" s="13">
        <v>0</v>
      </c>
      <c r="G30" s="133">
        <v>0.92769</v>
      </c>
    </row>
    <row r="31" spans="2:7">
      <c r="B31" s="132"/>
      <c r="C31" s="132" t="s">
        <v>711</v>
      </c>
      <c r="D31" s="13">
        <v>43.806657</v>
      </c>
      <c r="E31" s="13">
        <v>0</v>
      </c>
      <c r="F31" s="13">
        <v>0</v>
      </c>
      <c r="G31" s="133">
        <v>43.806657</v>
      </c>
    </row>
    <row r="32" spans="2:7">
      <c r="B32" s="132"/>
      <c r="C32" s="132" t="s">
        <v>712</v>
      </c>
      <c r="D32" s="13">
        <v>0</v>
      </c>
      <c r="E32" s="13">
        <v>0</v>
      </c>
      <c r="F32" s="13">
        <v>0</v>
      </c>
      <c r="G32" s="133">
        <v>0</v>
      </c>
    </row>
    <row r="33" spans="2:7">
      <c r="B33" s="132"/>
      <c r="C33" s="132" t="s">
        <v>713</v>
      </c>
      <c r="D33" s="13">
        <v>0</v>
      </c>
      <c r="E33" s="13">
        <v>0</v>
      </c>
      <c r="F33" s="13">
        <v>0</v>
      </c>
      <c r="G33" s="133">
        <v>0</v>
      </c>
    </row>
    <row r="34" spans="2:7">
      <c r="B34" s="129" t="s">
        <v>670</v>
      </c>
      <c r="C34" s="130" t="s">
        <v>354</v>
      </c>
      <c r="D34" s="35">
        <v>2793259.099117</v>
      </c>
      <c r="E34" s="35">
        <v>2232716.802837</v>
      </c>
      <c r="F34" s="35">
        <v>2486247.272486</v>
      </c>
      <c r="G34" s="35">
        <v>7512223.17444</v>
      </c>
    </row>
    <row r="35" spans="2:7">
      <c r="B35" s="132"/>
      <c r="C35" s="132" t="s">
        <v>709</v>
      </c>
      <c r="D35" s="13">
        <v>53673.816443</v>
      </c>
      <c r="E35" s="13">
        <v>46921.32123</v>
      </c>
      <c r="F35" s="13">
        <v>47751.697069</v>
      </c>
      <c r="G35" s="133">
        <v>148346.834742</v>
      </c>
    </row>
    <row r="36" spans="2:7">
      <c r="B36" s="132"/>
      <c r="C36" s="132" t="s">
        <v>710</v>
      </c>
      <c r="D36" s="13">
        <v>236538.253526</v>
      </c>
      <c r="E36" s="13">
        <v>163859.813158</v>
      </c>
      <c r="F36" s="13">
        <v>162569.607241</v>
      </c>
      <c r="G36" s="133">
        <v>562967.673925</v>
      </c>
    </row>
    <row r="37" spans="2:7">
      <c r="B37" s="132"/>
      <c r="C37" s="132" t="s">
        <v>711</v>
      </c>
      <c r="D37" s="13">
        <v>2148062.939932</v>
      </c>
      <c r="E37" s="13">
        <v>1757799.327828</v>
      </c>
      <c r="F37" s="13">
        <v>1982586.554422</v>
      </c>
      <c r="G37" s="133">
        <v>5888448.822182</v>
      </c>
    </row>
    <row r="38" spans="2:7">
      <c r="B38" s="132"/>
      <c r="C38" s="132" t="s">
        <v>712</v>
      </c>
      <c r="D38" s="13">
        <v>320680.922007</v>
      </c>
      <c r="E38" s="13">
        <v>237632.058379</v>
      </c>
      <c r="F38" s="13">
        <v>260862.074422</v>
      </c>
      <c r="G38" s="133">
        <v>819175.054808</v>
      </c>
    </row>
    <row r="39" spans="2:7">
      <c r="B39" s="132"/>
      <c r="C39" s="132" t="s">
        <v>713</v>
      </c>
      <c r="D39" s="13">
        <v>34303.167209</v>
      </c>
      <c r="E39" s="13">
        <v>26504.282242</v>
      </c>
      <c r="F39" s="13">
        <v>32477.339332</v>
      </c>
      <c r="G39" s="133">
        <v>93284.788783</v>
      </c>
    </row>
    <row r="40" spans="2:7">
      <c r="B40" s="129" t="s">
        <v>718</v>
      </c>
      <c r="C40" s="130" t="s">
        <v>354</v>
      </c>
      <c r="D40" s="35">
        <v>335686.2857018</v>
      </c>
      <c r="E40" s="35">
        <v>445272.51870782</v>
      </c>
      <c r="F40" s="35">
        <v>407289.46350338</v>
      </c>
      <c r="G40" s="35">
        <v>1188248.267913</v>
      </c>
    </row>
    <row r="41" spans="2:7">
      <c r="B41" s="132"/>
      <c r="C41" s="132" t="s">
        <v>709</v>
      </c>
      <c r="D41" s="13">
        <v>97732.35066929</v>
      </c>
      <c r="E41" s="13">
        <v>129637.49725662</v>
      </c>
      <c r="F41" s="13">
        <v>118579.03753144</v>
      </c>
      <c r="G41" s="13">
        <v>345948.88545735</v>
      </c>
    </row>
    <row r="42" spans="2:7">
      <c r="B42" s="132"/>
      <c r="C42" s="132" t="s">
        <v>710</v>
      </c>
      <c r="D42" s="13">
        <v>237953.93503251</v>
      </c>
      <c r="E42" s="13">
        <v>315635.0214512</v>
      </c>
      <c r="F42" s="13">
        <v>288710.42597194</v>
      </c>
      <c r="G42" s="13">
        <v>842299.38245565</v>
      </c>
    </row>
    <row r="43" spans="2:7">
      <c r="B43" s="132"/>
      <c r="C43" s="132" t="s">
        <v>711</v>
      </c>
      <c r="D43" s="13">
        <v>0</v>
      </c>
      <c r="E43" s="13">
        <v>0</v>
      </c>
      <c r="F43" s="13">
        <v>0</v>
      </c>
      <c r="G43" s="13">
        <v>0</v>
      </c>
    </row>
    <row r="44" spans="2:7">
      <c r="B44" s="132"/>
      <c r="C44" s="132" t="s">
        <v>712</v>
      </c>
      <c r="D44" s="13">
        <v>0</v>
      </c>
      <c r="E44" s="13">
        <v>0</v>
      </c>
      <c r="F44" s="13">
        <v>0</v>
      </c>
      <c r="G44" s="13">
        <v>0</v>
      </c>
    </row>
    <row r="45" spans="2:7">
      <c r="B45" s="132"/>
      <c r="C45" s="132" t="s">
        <v>713</v>
      </c>
      <c r="D45" s="13">
        <v>0</v>
      </c>
      <c r="E45" s="13">
        <v>0</v>
      </c>
      <c r="F45" s="13">
        <v>0</v>
      </c>
      <c r="G45" s="13">
        <v>0</v>
      </c>
    </row>
    <row r="46" spans="2:7">
      <c r="B46" s="129" t="s">
        <v>715</v>
      </c>
      <c r="C46" s="130" t="s">
        <v>354</v>
      </c>
      <c r="D46" s="35">
        <v>1265178.0327009</v>
      </c>
      <c r="E46" s="35">
        <v>1586892.50791972</v>
      </c>
      <c r="F46" s="35">
        <v>934905.759153</v>
      </c>
      <c r="G46" s="35">
        <v>3786976.29977362</v>
      </c>
    </row>
    <row r="47" spans="2:7">
      <c r="B47" s="132"/>
      <c r="C47" s="132" t="s">
        <v>709</v>
      </c>
      <c r="D47" s="13">
        <v>9691.453672</v>
      </c>
      <c r="E47" s="13">
        <v>23861.139843</v>
      </c>
      <c r="F47" s="13">
        <v>143760.505936</v>
      </c>
      <c r="G47" s="133">
        <v>177313.099451</v>
      </c>
    </row>
    <row r="48" spans="2:7">
      <c r="B48" s="132"/>
      <c r="C48" s="132" t="s">
        <v>710</v>
      </c>
      <c r="D48" s="13">
        <v>104861.07726598</v>
      </c>
      <c r="E48" s="13">
        <v>34070.02488659</v>
      </c>
      <c r="F48" s="13">
        <v>119.807247</v>
      </c>
      <c r="G48" s="133">
        <v>139050.90939957</v>
      </c>
    </row>
    <row r="49" spans="2:7">
      <c r="B49" s="132"/>
      <c r="C49" s="132" t="s">
        <v>711</v>
      </c>
      <c r="D49" s="13">
        <v>739127.81754585</v>
      </c>
      <c r="E49" s="13">
        <v>837765.36439167</v>
      </c>
      <c r="F49" s="13">
        <v>207553.730345</v>
      </c>
      <c r="G49" s="133">
        <v>1784446.91228252</v>
      </c>
    </row>
    <row r="50" spans="2:7">
      <c r="B50" s="132"/>
      <c r="C50" s="132" t="s">
        <v>712</v>
      </c>
      <c r="D50" s="13">
        <v>411497.60737007</v>
      </c>
      <c r="E50" s="13">
        <v>691195.97879846</v>
      </c>
      <c r="F50" s="13">
        <v>583471.715625</v>
      </c>
      <c r="G50" s="133">
        <v>1686165.30179353</v>
      </c>
    </row>
    <row r="51" spans="2:7">
      <c r="B51" s="132"/>
      <c r="C51" s="132" t="s">
        <v>713</v>
      </c>
      <c r="D51" s="13">
        <v>0.076847</v>
      </c>
      <c r="E51" s="13">
        <v>0</v>
      </c>
      <c r="F51" s="13">
        <v>0</v>
      </c>
      <c r="G51" s="133">
        <v>0.076847</v>
      </c>
    </row>
    <row r="52" spans="7:7">
      <c r="G52" s="134"/>
    </row>
  </sheetData>
  <mergeCells count="1">
    <mergeCell ref="B2:G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78"/>
  <sheetViews>
    <sheetView zoomScale="71" zoomScaleNormal="71" topLeftCell="B1" workbookViewId="0">
      <selection activeCell="F8" sqref="F8"/>
    </sheetView>
  </sheetViews>
  <sheetFormatPr defaultColWidth="9.17592592592593" defaultRowHeight="17.4"/>
  <cols>
    <col min="2" max="2" width="17.1759259259259" customWidth="1"/>
    <col min="3" max="3" width="20.4537037037037" style="96" customWidth="1"/>
    <col min="4" max="4" width="75.1759259259259" customWidth="1"/>
    <col min="5" max="5" width="28.4537037037037" customWidth="1"/>
    <col min="6" max="6" width="16" style="97" customWidth="1"/>
    <col min="8" max="8" width="10.4537037037037" customWidth="1"/>
    <col min="11" max="11" width="9.4537037037037" customWidth="1"/>
  </cols>
  <sheetData>
    <row r="1" spans="2:6">
      <c r="B1" s="98" t="s">
        <v>719</v>
      </c>
      <c r="C1" s="98"/>
      <c r="D1" s="98"/>
      <c r="E1" s="98"/>
      <c r="F1" s="98"/>
    </row>
    <row r="2" spans="2:6">
      <c r="B2" s="98" t="s">
        <v>720</v>
      </c>
      <c r="C2" s="98"/>
      <c r="D2" s="98"/>
      <c r="E2" s="98"/>
      <c r="F2" s="98"/>
    </row>
    <row r="3" spans="2:6">
      <c r="B3" s="99"/>
      <c r="C3" s="100"/>
      <c r="D3" s="99"/>
      <c r="E3" s="99"/>
      <c r="F3" s="101"/>
    </row>
    <row r="4" spans="2:8">
      <c r="B4" s="102" t="s">
        <v>721</v>
      </c>
      <c r="C4" s="103" t="s">
        <v>722</v>
      </c>
      <c r="D4" s="102" t="s">
        <v>723</v>
      </c>
      <c r="E4" s="102" t="s">
        <v>724</v>
      </c>
      <c r="F4" s="104" t="s">
        <v>725</v>
      </c>
      <c r="G4" s="105"/>
      <c r="H4" s="105"/>
    </row>
    <row r="5" spans="2:8">
      <c r="B5" s="106">
        <v>1</v>
      </c>
      <c r="C5" s="960" t="s">
        <v>24</v>
      </c>
      <c r="D5" s="108" t="s">
        <v>25</v>
      </c>
      <c r="E5" s="99" t="s">
        <v>162</v>
      </c>
      <c r="F5" s="109">
        <v>344169.54029799</v>
      </c>
      <c r="G5" s="105"/>
      <c r="H5" s="105"/>
    </row>
    <row r="6" spans="2:8">
      <c r="B6" s="106"/>
      <c r="C6" s="110"/>
      <c r="D6" s="108"/>
      <c r="E6" s="99" t="s">
        <v>188</v>
      </c>
      <c r="F6" s="109">
        <v>203172.46649625</v>
      </c>
      <c r="G6" s="105"/>
      <c r="H6" s="105"/>
    </row>
    <row r="7" spans="2:8">
      <c r="B7" s="106"/>
      <c r="C7" s="110"/>
      <c r="D7" s="108"/>
      <c r="E7" s="99" t="s">
        <v>165</v>
      </c>
      <c r="F7" s="109">
        <v>58835.24539137</v>
      </c>
      <c r="G7" s="105"/>
      <c r="H7" s="105"/>
    </row>
    <row r="8" spans="2:8">
      <c r="B8" s="106"/>
      <c r="C8" s="110"/>
      <c r="D8" s="108"/>
      <c r="E8" s="99" t="s">
        <v>194</v>
      </c>
      <c r="F8" s="109">
        <v>36797.32174045</v>
      </c>
      <c r="G8" s="105"/>
      <c r="H8" s="105"/>
    </row>
    <row r="9" spans="2:7">
      <c r="B9" s="106"/>
      <c r="C9" s="111"/>
      <c r="D9" s="108"/>
      <c r="E9" s="99" t="s">
        <v>176</v>
      </c>
      <c r="F9" s="109">
        <v>28686.78578637</v>
      </c>
      <c r="G9" s="105"/>
    </row>
    <row r="10" spans="2:7">
      <c r="B10" s="106"/>
      <c r="C10" s="111"/>
      <c r="D10" s="108"/>
      <c r="E10" s="99"/>
      <c r="F10" s="101"/>
      <c r="G10" s="105"/>
    </row>
    <row r="11" spans="2:7">
      <c r="B11" s="106">
        <v>2</v>
      </c>
      <c r="C11" s="960" t="s">
        <v>28</v>
      </c>
      <c r="D11" s="108" t="s">
        <v>29</v>
      </c>
      <c r="E11" s="99" t="s">
        <v>162</v>
      </c>
      <c r="F11" s="109">
        <v>265351.93604612</v>
      </c>
      <c r="G11" s="105"/>
    </row>
    <row r="12" spans="2:7">
      <c r="B12" s="106"/>
      <c r="C12" s="110"/>
      <c r="D12" s="108"/>
      <c r="E12" s="99" t="s">
        <v>188</v>
      </c>
      <c r="F12" s="101">
        <v>92074.79012713</v>
      </c>
      <c r="G12" s="105"/>
    </row>
    <row r="13" spans="2:7">
      <c r="B13" s="106"/>
      <c r="C13" s="110"/>
      <c r="D13" s="108"/>
      <c r="E13" s="112" t="s">
        <v>194</v>
      </c>
      <c r="F13" s="101">
        <v>40345.10974007</v>
      </c>
      <c r="G13" s="105"/>
    </row>
    <row r="14" spans="2:7">
      <c r="B14" s="106"/>
      <c r="C14" s="110"/>
      <c r="D14" s="108"/>
      <c r="E14" s="99" t="s">
        <v>181</v>
      </c>
      <c r="F14" s="101">
        <v>31940.26758429</v>
      </c>
      <c r="G14" s="105"/>
    </row>
    <row r="15" spans="2:7">
      <c r="B15" s="106"/>
      <c r="C15" s="110"/>
      <c r="D15" s="108"/>
      <c r="E15" s="112" t="s">
        <v>165</v>
      </c>
      <c r="F15" s="101">
        <v>22393.3560045</v>
      </c>
      <c r="G15" s="105"/>
    </row>
    <row r="16" spans="2:7">
      <c r="B16" s="106"/>
      <c r="C16" s="110"/>
      <c r="D16" s="108"/>
      <c r="E16" s="112"/>
      <c r="F16" s="101"/>
      <c r="G16" s="105"/>
    </row>
    <row r="17" spans="2:7">
      <c r="B17" s="106">
        <v>3</v>
      </c>
      <c r="C17" s="960" t="s">
        <v>40</v>
      </c>
      <c r="D17" s="108" t="s">
        <v>41</v>
      </c>
      <c r="E17" s="99" t="s">
        <v>157</v>
      </c>
      <c r="F17" s="109">
        <v>87563.2204</v>
      </c>
      <c r="G17" s="105"/>
    </row>
    <row r="18" spans="2:7">
      <c r="B18" s="106"/>
      <c r="C18" s="110"/>
      <c r="D18" s="108"/>
      <c r="E18" s="99" t="s">
        <v>726</v>
      </c>
      <c r="F18" s="109">
        <v>69736.760998447</v>
      </c>
      <c r="G18" s="105"/>
    </row>
    <row r="19" spans="2:7">
      <c r="B19" s="106"/>
      <c r="C19" s="110"/>
      <c r="D19" s="108"/>
      <c r="E19" s="99" t="s">
        <v>188</v>
      </c>
      <c r="F19" s="109">
        <v>206.67384738</v>
      </c>
      <c r="G19" s="105"/>
    </row>
    <row r="20" spans="2:7">
      <c r="B20" s="106"/>
      <c r="C20" s="110"/>
      <c r="D20" s="108"/>
      <c r="E20" s="99" t="s">
        <v>727</v>
      </c>
      <c r="F20" s="109">
        <v>128.292849</v>
      </c>
      <c r="G20" s="105"/>
    </row>
    <row r="21" spans="2:7">
      <c r="B21" s="106"/>
      <c r="C21" s="110"/>
      <c r="D21" s="108"/>
      <c r="E21" s="112"/>
      <c r="F21" s="101"/>
      <c r="G21" s="105"/>
    </row>
    <row r="22" spans="2:7">
      <c r="B22" s="106"/>
      <c r="C22" s="110"/>
      <c r="D22" s="108"/>
      <c r="E22" s="112"/>
      <c r="F22" s="101"/>
      <c r="G22" s="105"/>
    </row>
    <row r="23" spans="2:7">
      <c r="B23" s="106">
        <v>4</v>
      </c>
      <c r="C23" s="961" t="s">
        <v>44</v>
      </c>
      <c r="D23" s="108" t="s">
        <v>45</v>
      </c>
      <c r="E23" s="112" t="s">
        <v>159</v>
      </c>
      <c r="F23" s="101">
        <v>47107.38978786</v>
      </c>
      <c r="G23" s="105"/>
    </row>
    <row r="24" spans="2:7">
      <c r="B24" s="106"/>
      <c r="C24" s="110"/>
      <c r="D24" s="108"/>
      <c r="E24" s="112" t="s">
        <v>441</v>
      </c>
      <c r="F24" s="101">
        <v>33214.08763982</v>
      </c>
      <c r="G24" s="105"/>
    </row>
    <row r="25" spans="2:7">
      <c r="B25" s="106"/>
      <c r="C25" s="110"/>
      <c r="D25" s="108"/>
      <c r="E25" s="112" t="s">
        <v>274</v>
      </c>
      <c r="F25" s="101">
        <v>12023.08739721</v>
      </c>
      <c r="G25" s="105"/>
    </row>
    <row r="26" spans="2:7">
      <c r="B26" s="106"/>
      <c r="C26" s="110"/>
      <c r="D26" s="108"/>
      <c r="E26" s="112" t="s">
        <v>728</v>
      </c>
      <c r="F26" s="101">
        <v>8338.04562623</v>
      </c>
      <c r="G26" s="105"/>
    </row>
    <row r="27" spans="2:7">
      <c r="B27" s="106"/>
      <c r="C27" s="110"/>
      <c r="D27" s="108"/>
      <c r="E27" s="112" t="s">
        <v>279</v>
      </c>
      <c r="F27" s="101">
        <v>6991.39600128</v>
      </c>
      <c r="G27" s="105"/>
    </row>
    <row r="28" spans="2:7">
      <c r="B28" s="106"/>
      <c r="C28" s="110"/>
      <c r="D28" s="108"/>
      <c r="E28" s="112"/>
      <c r="F28" s="101"/>
      <c r="G28" s="105"/>
    </row>
    <row r="29" spans="2:7">
      <c r="B29" s="106">
        <v>5</v>
      </c>
      <c r="C29" s="962" t="s">
        <v>60</v>
      </c>
      <c r="D29" s="108" t="s">
        <v>61</v>
      </c>
      <c r="E29" s="45" t="s">
        <v>311</v>
      </c>
      <c r="F29" s="114">
        <v>66148.7149917</v>
      </c>
      <c r="G29" s="105"/>
    </row>
    <row r="30" spans="2:7">
      <c r="B30" s="106"/>
      <c r="C30" s="110"/>
      <c r="D30" s="108"/>
      <c r="E30" s="45" t="s">
        <v>162</v>
      </c>
      <c r="F30" s="114">
        <v>11364.22458853</v>
      </c>
      <c r="G30" s="105"/>
    </row>
    <row r="31" spans="2:7">
      <c r="B31" s="106"/>
      <c r="C31" s="110"/>
      <c r="D31" s="108"/>
      <c r="E31" s="45" t="s">
        <v>729</v>
      </c>
      <c r="F31" s="114">
        <v>1184.60105112</v>
      </c>
      <c r="G31" s="105"/>
    </row>
    <row r="32" spans="2:7">
      <c r="B32" s="106"/>
      <c r="C32" s="110"/>
      <c r="D32" s="108"/>
      <c r="E32" s="45" t="s">
        <v>168</v>
      </c>
      <c r="F32" s="114">
        <v>779.66491928</v>
      </c>
      <c r="G32" s="105"/>
    </row>
    <row r="33" spans="2:8">
      <c r="B33" s="106"/>
      <c r="C33" s="110"/>
      <c r="D33" s="108"/>
      <c r="E33" s="45" t="s">
        <v>188</v>
      </c>
      <c r="F33" s="114">
        <v>563.139698</v>
      </c>
      <c r="G33" s="105"/>
      <c r="H33" s="115"/>
    </row>
    <row r="34" spans="2:8">
      <c r="B34" s="106"/>
      <c r="C34" s="110"/>
      <c r="D34" s="57"/>
      <c r="E34" s="112"/>
      <c r="F34" s="101"/>
      <c r="G34" s="105"/>
      <c r="H34" s="115"/>
    </row>
    <row r="35" spans="2:8">
      <c r="B35" s="116" t="s">
        <v>730</v>
      </c>
      <c r="C35" s="117"/>
      <c r="D35" s="117"/>
      <c r="E35" s="117"/>
      <c r="F35" s="118"/>
      <c r="G35" s="105"/>
      <c r="H35" s="115"/>
    </row>
    <row r="36" spans="2:8">
      <c r="B36" s="119"/>
      <c r="C36" s="110"/>
      <c r="D36" s="99"/>
      <c r="E36" s="99"/>
      <c r="F36" s="101"/>
      <c r="G36" s="105"/>
      <c r="H36" s="115"/>
    </row>
    <row r="37" spans="2:8">
      <c r="B37" s="120" t="s">
        <v>721</v>
      </c>
      <c r="C37" s="121" t="s">
        <v>722</v>
      </c>
      <c r="D37" s="102" t="s">
        <v>731</v>
      </c>
      <c r="E37" s="102" t="s">
        <v>724</v>
      </c>
      <c r="F37" s="104" t="s">
        <v>725</v>
      </c>
      <c r="G37" s="105"/>
      <c r="H37" s="115"/>
    </row>
    <row r="38" ht="17.5" customHeight="1" spans="2:11">
      <c r="B38" s="106">
        <v>1</v>
      </c>
      <c r="C38" s="110" t="s">
        <v>22</v>
      </c>
      <c r="D38" s="99" t="s">
        <v>23</v>
      </c>
      <c r="E38" s="99" t="s">
        <v>732</v>
      </c>
      <c r="F38" s="101">
        <v>111668.873865</v>
      </c>
      <c r="G38" s="105"/>
      <c r="I38" s="44"/>
      <c r="K38" s="53"/>
    </row>
    <row r="39" ht="17.5" customHeight="1" spans="2:11">
      <c r="B39" s="106"/>
      <c r="C39" s="99"/>
      <c r="D39" s="99"/>
      <c r="E39" s="99" t="s">
        <v>733</v>
      </c>
      <c r="F39" s="101">
        <v>47616.290255</v>
      </c>
      <c r="G39" s="105"/>
      <c r="I39" s="44"/>
      <c r="K39" s="53"/>
    </row>
    <row r="40" ht="17.5" customHeight="1" spans="2:11">
      <c r="B40" s="106"/>
      <c r="C40" s="99"/>
      <c r="D40" s="99"/>
      <c r="E40" s="99" t="s">
        <v>186</v>
      </c>
      <c r="F40" s="101">
        <v>45803.723051</v>
      </c>
      <c r="G40" s="105"/>
      <c r="I40" s="44"/>
      <c r="K40" s="53"/>
    </row>
    <row r="41" ht="17.5" customHeight="1" spans="2:11">
      <c r="B41" s="106"/>
      <c r="C41" s="99"/>
      <c r="D41" s="99"/>
      <c r="E41" s="99" t="s">
        <v>734</v>
      </c>
      <c r="F41" s="101">
        <v>35916.825225</v>
      </c>
      <c r="G41" s="105"/>
      <c r="I41" s="44"/>
      <c r="K41" s="53"/>
    </row>
    <row r="42" ht="17.5" customHeight="1" spans="2:11">
      <c r="B42" s="106"/>
      <c r="C42" s="99"/>
      <c r="D42" s="99"/>
      <c r="E42" s="99" t="s">
        <v>735</v>
      </c>
      <c r="F42" s="101">
        <v>24054.656293</v>
      </c>
      <c r="G42" s="105"/>
      <c r="I42" s="44"/>
      <c r="K42" s="53"/>
    </row>
    <row r="43" ht="17.5" customHeight="1" spans="2:7">
      <c r="B43" s="106"/>
      <c r="C43" s="110"/>
      <c r="D43" s="99"/>
      <c r="E43" s="99"/>
      <c r="F43" s="122"/>
      <c r="G43" s="105"/>
    </row>
    <row r="44" ht="17.5" customHeight="1" spans="2:7">
      <c r="B44" s="106">
        <v>2</v>
      </c>
      <c r="C44" s="110" t="s">
        <v>498</v>
      </c>
      <c r="D44" s="99" t="s">
        <v>499</v>
      </c>
      <c r="E44" s="99" t="s">
        <v>165</v>
      </c>
      <c r="F44" s="123">
        <v>45040.713197</v>
      </c>
      <c r="G44" s="105"/>
    </row>
    <row r="45" ht="17.5" customHeight="1" spans="2:11">
      <c r="B45" s="106"/>
      <c r="C45" s="110"/>
      <c r="D45" s="99"/>
      <c r="E45" s="99" t="s">
        <v>178</v>
      </c>
      <c r="F45" s="123">
        <v>25709.177682</v>
      </c>
      <c r="G45" s="105"/>
      <c r="I45" s="44"/>
      <c r="K45" s="53"/>
    </row>
    <row r="46" ht="17.5" customHeight="1" spans="2:11">
      <c r="B46" s="106"/>
      <c r="C46" s="110"/>
      <c r="D46" s="99"/>
      <c r="E46" s="99" t="s">
        <v>159</v>
      </c>
      <c r="F46" s="123">
        <v>825.256359</v>
      </c>
      <c r="G46" s="105"/>
      <c r="I46" s="44"/>
      <c r="K46" s="53"/>
    </row>
    <row r="47" ht="17.5" customHeight="1" spans="2:11">
      <c r="B47" s="106"/>
      <c r="C47" s="110"/>
      <c r="D47" s="99"/>
      <c r="E47" s="99" t="s">
        <v>157</v>
      </c>
      <c r="F47" s="123">
        <v>0.194514</v>
      </c>
      <c r="G47" s="105"/>
      <c r="I47" s="44"/>
      <c r="K47" s="53"/>
    </row>
    <row r="48" ht="17.5" customHeight="1" spans="2:11">
      <c r="B48" s="106"/>
      <c r="C48" s="110"/>
      <c r="D48" s="99"/>
      <c r="E48" s="99"/>
      <c r="F48" s="123"/>
      <c r="G48" s="105"/>
      <c r="I48" s="44"/>
      <c r="K48" s="53"/>
    </row>
    <row r="49" ht="17.5" customHeight="1" spans="2:11">
      <c r="B49" s="106"/>
      <c r="C49" s="110"/>
      <c r="D49" s="99"/>
      <c r="E49" s="99"/>
      <c r="F49" s="123"/>
      <c r="G49" s="105"/>
      <c r="I49" s="44"/>
      <c r="K49" s="53"/>
    </row>
    <row r="50" ht="17.5" customHeight="1" spans="2:11">
      <c r="B50" s="106">
        <v>3</v>
      </c>
      <c r="C50" s="110" t="s">
        <v>576</v>
      </c>
      <c r="D50" s="99" t="s">
        <v>577</v>
      </c>
      <c r="E50" s="99" t="s">
        <v>736</v>
      </c>
      <c r="F50" s="101">
        <v>50078.936509</v>
      </c>
      <c r="G50" s="105"/>
      <c r="I50" s="44"/>
      <c r="K50" s="53"/>
    </row>
    <row r="51" ht="17.5" customHeight="1" spans="2:11">
      <c r="B51" s="106"/>
      <c r="C51" s="110"/>
      <c r="D51" s="99"/>
      <c r="E51" s="99" t="s">
        <v>311</v>
      </c>
      <c r="F51" s="101">
        <v>4324.403829</v>
      </c>
      <c r="G51" s="105"/>
      <c r="I51" s="44"/>
      <c r="K51" s="53"/>
    </row>
    <row r="52" ht="17.5" customHeight="1" spans="2:11">
      <c r="B52" s="106"/>
      <c r="C52" s="110"/>
      <c r="D52" s="99"/>
      <c r="E52" s="99" t="s">
        <v>279</v>
      </c>
      <c r="F52" s="101">
        <v>3952.624218</v>
      </c>
      <c r="G52" s="105"/>
      <c r="H52" s="53"/>
      <c r="I52" s="44"/>
      <c r="K52" s="53"/>
    </row>
    <row r="53" ht="17.5" customHeight="1" spans="2:11">
      <c r="B53" s="106"/>
      <c r="C53" s="110"/>
      <c r="D53" s="99"/>
      <c r="E53" s="99" t="s">
        <v>162</v>
      </c>
      <c r="F53" s="101">
        <v>1983.307804</v>
      </c>
      <c r="G53" s="105"/>
      <c r="I53" s="44"/>
      <c r="K53" s="53"/>
    </row>
    <row r="54" ht="17.5" customHeight="1" spans="2:7">
      <c r="B54" s="106"/>
      <c r="C54" s="110"/>
      <c r="D54" s="99"/>
      <c r="E54" s="99" t="s">
        <v>737</v>
      </c>
      <c r="F54" s="101">
        <v>1650.053772</v>
      </c>
      <c r="G54" s="105"/>
    </row>
    <row r="55" ht="17.5" customHeight="1" spans="2:7">
      <c r="B55" s="106"/>
      <c r="C55" s="110"/>
      <c r="D55" s="99"/>
      <c r="E55" s="99"/>
      <c r="F55" s="123"/>
      <c r="G55" s="105"/>
    </row>
    <row r="56" ht="17.5" customHeight="1" spans="2:8">
      <c r="B56" s="106">
        <v>4</v>
      </c>
      <c r="C56" s="110" t="s">
        <v>501</v>
      </c>
      <c r="D56" s="99" t="s">
        <v>502</v>
      </c>
      <c r="E56" s="99" t="s">
        <v>162</v>
      </c>
      <c r="F56" s="101">
        <v>29757.801449</v>
      </c>
      <c r="H56" s="53"/>
    </row>
    <row r="57" ht="17.5" customHeight="1" spans="2:8">
      <c r="B57" s="106"/>
      <c r="C57" s="110"/>
      <c r="D57" s="99"/>
      <c r="E57" s="99" t="s">
        <v>279</v>
      </c>
      <c r="F57" s="101">
        <v>13104.648743</v>
      </c>
      <c r="H57" s="53"/>
    </row>
    <row r="58" ht="17.5" customHeight="1" spans="2:8">
      <c r="B58" s="106"/>
      <c r="C58" s="110"/>
      <c r="D58" s="99"/>
      <c r="E58" s="99" t="s">
        <v>732</v>
      </c>
      <c r="F58" s="101">
        <v>4040.32222</v>
      </c>
      <c r="H58" s="53"/>
    </row>
    <row r="59" ht="17.5" customHeight="1" spans="2:8">
      <c r="B59" s="106"/>
      <c r="C59" s="110"/>
      <c r="D59" s="99"/>
      <c r="E59" s="99" t="s">
        <v>311</v>
      </c>
      <c r="F59" s="101">
        <v>3631.840388</v>
      </c>
      <c r="H59" s="53"/>
    </row>
    <row r="60" ht="17.5" customHeight="1" spans="2:8">
      <c r="B60" s="106"/>
      <c r="C60" s="110"/>
      <c r="D60" s="99"/>
      <c r="E60" s="99" t="s">
        <v>320</v>
      </c>
      <c r="F60" s="101">
        <v>1725.1664</v>
      </c>
      <c r="H60" s="53"/>
    </row>
    <row r="61" ht="17.5" customHeight="1" spans="2:8">
      <c r="B61" s="106"/>
      <c r="C61" s="110"/>
      <c r="D61" s="99"/>
      <c r="E61" s="99"/>
      <c r="F61" s="101"/>
      <c r="H61" s="53"/>
    </row>
    <row r="62" ht="17.5" customHeight="1" spans="2:8">
      <c r="B62" s="106">
        <v>5</v>
      </c>
      <c r="C62" s="961" t="s">
        <v>515</v>
      </c>
      <c r="D62" s="99" t="s">
        <v>516</v>
      </c>
      <c r="E62" s="99" t="s">
        <v>173</v>
      </c>
      <c r="F62" s="123">
        <v>18579.362883</v>
      </c>
      <c r="H62" s="53"/>
    </row>
    <row r="63" ht="17.5" customHeight="1" spans="2:8">
      <c r="B63" s="106"/>
      <c r="C63" s="110"/>
      <c r="D63" s="99"/>
      <c r="E63" s="99" t="s">
        <v>727</v>
      </c>
      <c r="F63" s="101">
        <v>11800.059</v>
      </c>
      <c r="H63" s="53"/>
    </row>
    <row r="64" ht="17.5" customHeight="1" spans="2:8">
      <c r="B64" s="106"/>
      <c r="C64" s="110"/>
      <c r="D64" s="99"/>
      <c r="E64" s="99" t="s">
        <v>186</v>
      </c>
      <c r="F64" s="101">
        <v>8705.369008</v>
      </c>
      <c r="H64" s="53"/>
    </row>
    <row r="65" ht="17.5" customHeight="1" spans="2:8">
      <c r="B65" s="106"/>
      <c r="C65" s="110"/>
      <c r="D65" s="99"/>
      <c r="E65" s="99" t="s">
        <v>733</v>
      </c>
      <c r="F65" s="101">
        <v>6632.947298</v>
      </c>
      <c r="H65" s="53"/>
    </row>
    <row r="66" ht="17.5" customHeight="1" spans="2:8">
      <c r="B66" s="106"/>
      <c r="C66" s="110"/>
      <c r="D66" s="99"/>
      <c r="E66" s="99" t="s">
        <v>734</v>
      </c>
      <c r="F66" s="101">
        <v>4713.489717</v>
      </c>
      <c r="H66" s="53"/>
    </row>
    <row r="67" spans="3:8">
      <c r="C67"/>
      <c r="F67" s="124"/>
      <c r="H67" s="53"/>
    </row>
    <row r="68" spans="8:8">
      <c r="H68" s="53"/>
    </row>
    <row r="69" spans="8:8">
      <c r="H69" s="53"/>
    </row>
    <row r="70" spans="7:8">
      <c r="G70" s="105"/>
      <c r="H70" s="72"/>
    </row>
    <row r="71" spans="7:8">
      <c r="G71" s="105"/>
      <c r="H71" s="72"/>
    </row>
    <row r="72" spans="3:8">
      <c r="C72"/>
      <c r="F72" s="124"/>
      <c r="G72" s="105"/>
      <c r="H72" s="72"/>
    </row>
    <row r="73" spans="3:8">
      <c r="C73"/>
      <c r="F73" s="124"/>
      <c r="G73" s="105"/>
      <c r="H73" s="72"/>
    </row>
    <row r="74" spans="3:8">
      <c r="C74"/>
      <c r="F74" s="124"/>
      <c r="H74" s="72"/>
    </row>
    <row r="75" spans="3:8">
      <c r="C75"/>
      <c r="F75" s="124"/>
      <c r="H75" s="72"/>
    </row>
    <row r="76" spans="3:6">
      <c r="C76"/>
      <c r="F76" s="124"/>
    </row>
    <row r="77" spans="3:6">
      <c r="C77"/>
      <c r="F77" s="124"/>
    </row>
    <row r="78" spans="3:6">
      <c r="C78"/>
      <c r="F78" s="124"/>
    </row>
  </sheetData>
  <mergeCells count="3">
    <mergeCell ref="B1:F1"/>
    <mergeCell ref="B2:F2"/>
    <mergeCell ref="B35:F35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3"/>
  <sheetViews>
    <sheetView zoomScale="77" zoomScaleNormal="77" topLeftCell="A28" workbookViewId="0">
      <selection activeCell="F36" sqref="F36"/>
    </sheetView>
  </sheetViews>
  <sheetFormatPr defaultColWidth="9" defaultRowHeight="14.4"/>
  <cols>
    <col min="2" max="2" width="10.5462962962963" customWidth="1"/>
    <col min="3" max="3" width="16.8148148148148" customWidth="1"/>
    <col min="4" max="4" width="65.4537037037037" customWidth="1"/>
    <col min="5" max="5" width="26.4537037037037" customWidth="1"/>
    <col min="6" max="6" width="22.2685185185185" style="38" customWidth="1"/>
    <col min="7" max="8" width="15.4537037037037" customWidth="1"/>
    <col min="9" max="9" width="9.4537037037037" customWidth="1"/>
    <col min="10" max="10" width="11" customWidth="1"/>
  </cols>
  <sheetData>
    <row r="1" ht="20.4" spans="2:6">
      <c r="B1" s="85" t="s">
        <v>738</v>
      </c>
      <c r="C1" s="85"/>
      <c r="D1" s="85"/>
      <c r="E1" s="85"/>
      <c r="F1" s="85"/>
    </row>
    <row r="2" ht="20.4" spans="2:6">
      <c r="B2" s="86"/>
      <c r="C2" s="2" t="s">
        <v>720</v>
      </c>
      <c r="D2" s="3"/>
      <c r="E2" s="4"/>
      <c r="F2" s="87"/>
    </row>
    <row r="3" ht="20.4" spans="2:9">
      <c r="B3" s="86"/>
      <c r="C3" s="86"/>
      <c r="D3" s="86"/>
      <c r="E3" s="86"/>
      <c r="F3" s="87"/>
      <c r="I3" s="53"/>
    </row>
    <row r="4" ht="17.4" spans="2:9">
      <c r="B4" s="48" t="s">
        <v>721</v>
      </c>
      <c r="C4" s="48" t="s">
        <v>722</v>
      </c>
      <c r="D4" s="48" t="s">
        <v>723</v>
      </c>
      <c r="E4" s="48" t="s">
        <v>724</v>
      </c>
      <c r="F4" s="71" t="s">
        <v>725</v>
      </c>
      <c r="I4" s="53"/>
    </row>
    <row r="5" ht="15.6" spans="2:7">
      <c r="B5" s="88">
        <v>1</v>
      </c>
      <c r="C5" s="959" t="s">
        <v>80</v>
      </c>
      <c r="D5" s="12" t="s">
        <v>81</v>
      </c>
      <c r="E5" s="12" t="s">
        <v>225</v>
      </c>
      <c r="F5" s="24">
        <v>16772.67229</v>
      </c>
      <c r="G5" s="89"/>
    </row>
    <row r="6" ht="15.6" spans="2:9">
      <c r="B6" s="88"/>
      <c r="C6" s="12"/>
      <c r="D6" s="12"/>
      <c r="E6" s="12" t="s">
        <v>213</v>
      </c>
      <c r="F6" s="24">
        <v>4139.235</v>
      </c>
      <c r="G6" s="52"/>
      <c r="H6" s="39"/>
      <c r="I6" s="53"/>
    </row>
    <row r="7" ht="15.6" spans="2:9">
      <c r="B7" s="88"/>
      <c r="C7" s="12"/>
      <c r="D7" s="12"/>
      <c r="E7" s="12" t="s">
        <v>221</v>
      </c>
      <c r="F7" s="24">
        <v>1354.794</v>
      </c>
      <c r="G7" s="52"/>
      <c r="H7" s="39"/>
      <c r="I7" s="53"/>
    </row>
    <row r="8" ht="15.6" spans="2:9">
      <c r="B8" s="88"/>
      <c r="C8" s="12"/>
      <c r="D8" s="12"/>
      <c r="E8" s="12" t="s">
        <v>207</v>
      </c>
      <c r="F8" s="24">
        <v>482.43195</v>
      </c>
      <c r="G8" s="52"/>
      <c r="H8" s="39"/>
      <c r="I8" s="53"/>
    </row>
    <row r="9" ht="15.6" spans="2:8">
      <c r="B9" s="88"/>
      <c r="C9" s="12"/>
      <c r="D9" s="12"/>
      <c r="E9" s="12"/>
      <c r="F9" s="24"/>
      <c r="G9" s="52"/>
      <c r="H9" s="39"/>
    </row>
    <row r="10" ht="15.6" spans="2:9">
      <c r="B10" s="88">
        <v>2</v>
      </c>
      <c r="C10" s="963" t="s">
        <v>102</v>
      </c>
      <c r="D10" s="12" t="s">
        <v>103</v>
      </c>
      <c r="E10" s="12" t="s">
        <v>207</v>
      </c>
      <c r="F10" s="24">
        <v>7282.78984</v>
      </c>
      <c r="G10" s="52"/>
      <c r="H10" s="39"/>
      <c r="I10" s="53"/>
    </row>
    <row r="11" ht="15.6" spans="2:9">
      <c r="B11" s="88"/>
      <c r="C11" s="12"/>
      <c r="D11" s="12"/>
      <c r="E11" s="12" t="s">
        <v>213</v>
      </c>
      <c r="F11" s="24">
        <v>503.19315774</v>
      </c>
      <c r="G11" s="52"/>
      <c r="H11" s="39"/>
      <c r="I11" s="53"/>
    </row>
    <row r="12" ht="15.6" spans="2:9">
      <c r="B12" s="88"/>
      <c r="C12" s="12"/>
      <c r="D12" s="12"/>
      <c r="E12" s="12"/>
      <c r="F12" s="24"/>
      <c r="G12" s="52"/>
      <c r="H12" s="39"/>
      <c r="I12" s="53"/>
    </row>
    <row r="13" ht="15.6" spans="2:9">
      <c r="B13" s="88">
        <v>3</v>
      </c>
      <c r="C13" s="963" t="s">
        <v>739</v>
      </c>
      <c r="D13" s="12" t="s">
        <v>740</v>
      </c>
      <c r="E13" s="12" t="s">
        <v>159</v>
      </c>
      <c r="F13" s="13">
        <v>13353.7227227</v>
      </c>
      <c r="G13" s="89"/>
      <c r="H13" s="39"/>
      <c r="I13" s="53"/>
    </row>
    <row r="14" ht="15.6" spans="2:9">
      <c r="B14" s="88"/>
      <c r="C14" s="11"/>
      <c r="D14" s="12"/>
      <c r="E14" s="12" t="s">
        <v>194</v>
      </c>
      <c r="F14" s="13">
        <v>3318.37456286</v>
      </c>
      <c r="G14" s="89"/>
      <c r="H14" s="39"/>
      <c r="I14" s="53"/>
    </row>
    <row r="15" ht="15.6" spans="2:9">
      <c r="B15" s="88"/>
      <c r="C15" s="11"/>
      <c r="D15" s="12"/>
      <c r="E15" s="12"/>
      <c r="F15" s="13"/>
      <c r="G15" s="52"/>
      <c r="H15" s="39"/>
      <c r="I15" s="53"/>
    </row>
    <row r="16" ht="15.6" spans="2:12">
      <c r="B16" s="88"/>
      <c r="C16" s="11"/>
      <c r="D16" s="12"/>
      <c r="E16" s="12"/>
      <c r="F16" s="13"/>
      <c r="G16" s="52"/>
      <c r="H16" s="39"/>
      <c r="I16" s="53"/>
      <c r="J16" s="44"/>
      <c r="L16" s="53"/>
    </row>
    <row r="17" ht="15.6" spans="2:12">
      <c r="B17" s="88">
        <v>4</v>
      </c>
      <c r="C17" s="963" t="s">
        <v>741</v>
      </c>
      <c r="D17" s="12" t="s">
        <v>742</v>
      </c>
      <c r="E17" s="12" t="s">
        <v>159</v>
      </c>
      <c r="F17" s="13">
        <v>3396.5378</v>
      </c>
      <c r="G17" s="52"/>
      <c r="H17" s="39"/>
      <c r="I17" s="53"/>
      <c r="J17" s="44"/>
      <c r="L17" s="53"/>
    </row>
    <row r="18" ht="15.6" spans="2:12">
      <c r="B18" s="88"/>
      <c r="C18" s="12"/>
      <c r="D18" s="12"/>
      <c r="E18" s="12"/>
      <c r="F18" s="13"/>
      <c r="G18" s="52"/>
      <c r="H18" s="39"/>
      <c r="I18" s="53"/>
      <c r="J18" s="44"/>
      <c r="L18" s="53"/>
    </row>
    <row r="19" ht="15.6" spans="2:12">
      <c r="B19" s="88"/>
      <c r="C19" s="11"/>
      <c r="D19" s="12"/>
      <c r="E19" s="12"/>
      <c r="F19" s="24"/>
      <c r="G19" s="52"/>
      <c r="H19" s="39"/>
      <c r="J19" s="44"/>
      <c r="L19" s="53"/>
    </row>
    <row r="20" ht="15.6" spans="2:8">
      <c r="B20" s="88">
        <v>5</v>
      </c>
      <c r="C20" s="959" t="s">
        <v>743</v>
      </c>
      <c r="D20" s="12" t="s">
        <v>744</v>
      </c>
      <c r="E20" s="12" t="s">
        <v>159</v>
      </c>
      <c r="F20" s="24">
        <v>3323.07352464</v>
      </c>
      <c r="G20" s="52"/>
      <c r="H20" s="39"/>
    </row>
    <row r="21" ht="15.6" spans="2:9">
      <c r="B21" s="88"/>
      <c r="C21" s="11"/>
      <c r="D21" s="12"/>
      <c r="E21" s="12"/>
      <c r="F21" s="13"/>
      <c r="G21" s="52"/>
      <c r="H21" s="39"/>
      <c r="I21" s="53"/>
    </row>
    <row r="22" ht="15.6" spans="2:9">
      <c r="B22" s="12"/>
      <c r="C22" s="11"/>
      <c r="D22" s="12"/>
      <c r="E22" s="12"/>
      <c r="F22" s="13"/>
      <c r="G22" s="52"/>
      <c r="H22" s="39"/>
      <c r="I22" s="53"/>
    </row>
    <row r="23" ht="15.6" spans="2:9">
      <c r="B23" s="7"/>
      <c r="C23" s="90"/>
      <c r="D23" s="7"/>
      <c r="E23" s="1"/>
      <c r="F23" s="91"/>
      <c r="G23" s="52"/>
      <c r="H23" s="39"/>
      <c r="I23" s="53"/>
    </row>
    <row r="24" ht="15.6" spans="2:10">
      <c r="B24" s="7"/>
      <c r="C24" s="2" t="s">
        <v>730</v>
      </c>
      <c r="D24" s="3"/>
      <c r="E24" s="4"/>
      <c r="F24" s="91"/>
      <c r="G24" s="52"/>
      <c r="H24" s="39"/>
      <c r="I24" s="53"/>
      <c r="J24" s="44"/>
    </row>
    <row r="25" ht="15.6" spans="2:8">
      <c r="B25" s="7" t="s">
        <v>721</v>
      </c>
      <c r="C25" s="90" t="s">
        <v>722</v>
      </c>
      <c r="D25" s="7" t="s">
        <v>723</v>
      </c>
      <c r="E25" s="7" t="s">
        <v>724</v>
      </c>
      <c r="F25" s="91" t="s">
        <v>725</v>
      </c>
      <c r="G25" s="52"/>
      <c r="H25" s="39"/>
    </row>
    <row r="26" ht="15.6" spans="2:8">
      <c r="B26" s="88">
        <v>1</v>
      </c>
      <c r="C26" s="959" t="s">
        <v>78</v>
      </c>
      <c r="D26" s="12" t="s">
        <v>79</v>
      </c>
      <c r="E26" s="24" t="s">
        <v>215</v>
      </c>
      <c r="F26" s="24">
        <v>21054.984692</v>
      </c>
      <c r="G26" s="52"/>
      <c r="H26" s="39"/>
    </row>
    <row r="27" ht="15.6" spans="2:9">
      <c r="B27" s="88"/>
      <c r="C27" s="11"/>
      <c r="D27" s="1"/>
      <c r="E27" s="24" t="s">
        <v>274</v>
      </c>
      <c r="F27" s="24">
        <v>2774.107801</v>
      </c>
      <c r="G27" s="52"/>
      <c r="H27" s="39"/>
      <c r="I27" s="53"/>
    </row>
    <row r="28" ht="15.6" spans="2:9">
      <c r="B28" s="88"/>
      <c r="C28" s="88"/>
      <c r="D28" s="88"/>
      <c r="E28" s="24" t="s">
        <v>211</v>
      </c>
      <c r="F28" s="24">
        <v>1583.431405</v>
      </c>
      <c r="G28" s="52"/>
      <c r="H28" s="39"/>
      <c r="I28" s="53"/>
    </row>
    <row r="29" ht="15.6" spans="2:9">
      <c r="B29" s="88"/>
      <c r="C29" s="88"/>
      <c r="D29" s="88"/>
      <c r="E29" s="24" t="s">
        <v>452</v>
      </c>
      <c r="F29" s="24">
        <v>729.814261</v>
      </c>
      <c r="G29" s="52"/>
      <c r="H29" s="39"/>
      <c r="I29" s="53"/>
    </row>
    <row r="30" ht="15.6" spans="2:9">
      <c r="B30" s="88"/>
      <c r="C30" s="88"/>
      <c r="D30" s="88"/>
      <c r="E30" s="24" t="s">
        <v>737</v>
      </c>
      <c r="F30" s="24">
        <v>320.032481</v>
      </c>
      <c r="G30" s="52"/>
      <c r="H30" s="39"/>
      <c r="I30" s="53"/>
    </row>
    <row r="31" ht="15.6" spans="2:9">
      <c r="B31" s="88"/>
      <c r="C31" s="88"/>
      <c r="D31" s="88"/>
      <c r="E31" s="12"/>
      <c r="F31" s="24"/>
      <c r="G31" s="52"/>
      <c r="H31" s="39"/>
      <c r="I31" s="53"/>
    </row>
    <row r="32" ht="15.6" spans="2:8">
      <c r="B32" s="88">
        <v>2</v>
      </c>
      <c r="C32" s="959" t="s">
        <v>745</v>
      </c>
      <c r="D32" s="12" t="s">
        <v>746</v>
      </c>
      <c r="E32" s="12" t="s">
        <v>171</v>
      </c>
      <c r="F32" s="24">
        <v>13818.89777</v>
      </c>
      <c r="H32" s="39"/>
    </row>
    <row r="33" ht="15.6" spans="2:6">
      <c r="B33" s="88"/>
      <c r="C33" s="11"/>
      <c r="D33" s="12"/>
      <c r="E33" s="12" t="s">
        <v>176</v>
      </c>
      <c r="F33" s="13">
        <v>2383.584691</v>
      </c>
    </row>
    <row r="34" ht="15.6" spans="2:7">
      <c r="B34" s="88"/>
      <c r="C34" s="11"/>
      <c r="D34" s="12"/>
      <c r="E34" s="12" t="s">
        <v>223</v>
      </c>
      <c r="F34" s="24">
        <v>2240.111615</v>
      </c>
      <c r="G34" s="44"/>
    </row>
    <row r="35" ht="15.6" spans="2:8">
      <c r="B35" s="88"/>
      <c r="C35" s="11"/>
      <c r="D35" s="12"/>
      <c r="E35" s="12" t="s">
        <v>215</v>
      </c>
      <c r="F35" s="24">
        <v>176.082561</v>
      </c>
      <c r="G35" s="44"/>
      <c r="H35" s="39"/>
    </row>
    <row r="36" ht="15.6" spans="2:9">
      <c r="B36" s="88"/>
      <c r="C36" s="11"/>
      <c r="D36" s="12"/>
      <c r="E36" s="12" t="s">
        <v>159</v>
      </c>
      <c r="F36" s="24">
        <v>75.431415</v>
      </c>
      <c r="H36" s="39"/>
      <c r="I36" s="53"/>
    </row>
    <row r="37" ht="15.6" spans="2:9">
      <c r="B37" s="88"/>
      <c r="C37" s="11"/>
      <c r="D37" s="12"/>
      <c r="E37" s="12"/>
      <c r="F37" s="24"/>
      <c r="H37" s="39"/>
      <c r="I37" s="53"/>
    </row>
    <row r="38" ht="15.6" spans="2:8">
      <c r="B38" s="88">
        <v>3</v>
      </c>
      <c r="C38" s="959" t="s">
        <v>94</v>
      </c>
      <c r="D38" s="1" t="s">
        <v>95</v>
      </c>
      <c r="E38" s="12" t="s">
        <v>284</v>
      </c>
      <c r="F38" s="13">
        <v>7436.902261</v>
      </c>
      <c r="H38" s="39"/>
    </row>
    <row r="39" ht="15.6" spans="2:8">
      <c r="B39" s="88"/>
      <c r="C39" s="11"/>
      <c r="D39" s="12"/>
      <c r="E39" s="12" t="s">
        <v>215</v>
      </c>
      <c r="F39" s="24">
        <v>7285.194944</v>
      </c>
      <c r="H39" s="39"/>
    </row>
    <row r="40" ht="15.6" spans="2:8">
      <c r="B40" s="88"/>
      <c r="C40" s="11"/>
      <c r="D40" s="12"/>
      <c r="E40" s="12" t="s">
        <v>450</v>
      </c>
      <c r="F40" s="24">
        <v>2600.292183</v>
      </c>
      <c r="H40" s="39"/>
    </row>
    <row r="41" ht="15.6" spans="2:8">
      <c r="B41" s="88"/>
      <c r="C41" s="11"/>
      <c r="D41" s="12"/>
      <c r="E41" s="12"/>
      <c r="F41" s="24"/>
      <c r="H41" s="39"/>
    </row>
    <row r="42" ht="15.6" spans="2:8">
      <c r="B42" s="88">
        <v>4</v>
      </c>
      <c r="C42" s="959" t="s">
        <v>747</v>
      </c>
      <c r="D42" s="12" t="s">
        <v>748</v>
      </c>
      <c r="E42" s="12" t="s">
        <v>178</v>
      </c>
      <c r="F42" s="24">
        <v>7795.445508</v>
      </c>
      <c r="H42" s="39"/>
    </row>
    <row r="43" ht="15.6" spans="2:8">
      <c r="B43" s="88"/>
      <c r="C43" s="11"/>
      <c r="D43" s="12"/>
      <c r="E43" s="12" t="s">
        <v>737</v>
      </c>
      <c r="F43" s="13">
        <v>187.842689</v>
      </c>
      <c r="H43" s="39"/>
    </row>
    <row r="44" ht="15.6" spans="2:8">
      <c r="B44" s="88"/>
      <c r="C44" s="11"/>
      <c r="D44" s="12"/>
      <c r="E44" s="12" t="s">
        <v>311</v>
      </c>
      <c r="F44" s="24">
        <v>33.235521</v>
      </c>
      <c r="H44" s="39"/>
    </row>
    <row r="45" ht="15.6" spans="2:8">
      <c r="B45" s="88"/>
      <c r="C45" s="11"/>
      <c r="D45" s="1"/>
      <c r="E45" s="12" t="s">
        <v>159</v>
      </c>
      <c r="F45" s="13">
        <v>10.247358</v>
      </c>
      <c r="H45" s="39"/>
    </row>
    <row r="46" ht="15.6" spans="2:8">
      <c r="B46" s="88"/>
      <c r="C46" s="11"/>
      <c r="D46" s="33"/>
      <c r="E46" s="12" t="s">
        <v>196</v>
      </c>
      <c r="F46" s="24">
        <v>0.899822</v>
      </c>
      <c r="G46" s="38"/>
      <c r="H46" s="39"/>
    </row>
    <row r="47" ht="15.6" spans="2:8">
      <c r="B47" s="88"/>
      <c r="C47" s="11"/>
      <c r="D47" s="33"/>
      <c r="E47" s="12"/>
      <c r="F47" s="24"/>
      <c r="H47" s="39"/>
    </row>
    <row r="48" ht="15.6" spans="2:6">
      <c r="B48" s="88">
        <v>5</v>
      </c>
      <c r="C48" s="959" t="s">
        <v>102</v>
      </c>
      <c r="D48" s="12" t="s">
        <v>103</v>
      </c>
      <c r="E48" s="12" t="s">
        <v>221</v>
      </c>
      <c r="F48" s="24">
        <v>404.403353</v>
      </c>
    </row>
    <row r="49" ht="15.6" spans="2:8">
      <c r="B49" s="88"/>
      <c r="C49" s="11"/>
      <c r="D49" s="33"/>
      <c r="E49" s="12" t="s">
        <v>274</v>
      </c>
      <c r="F49" s="24">
        <v>135.218467</v>
      </c>
      <c r="H49" s="72"/>
    </row>
    <row r="50" ht="15.6" spans="2:8">
      <c r="B50" s="88"/>
      <c r="C50" s="27"/>
      <c r="D50" s="92"/>
      <c r="E50" s="12"/>
      <c r="F50" s="24"/>
      <c r="H50" s="72"/>
    </row>
    <row r="51" ht="15.6" spans="2:6">
      <c r="B51" s="93"/>
      <c r="C51" s="11"/>
      <c r="D51" s="12"/>
      <c r="E51" s="12"/>
      <c r="F51" s="13"/>
    </row>
    <row r="52" ht="15.6" spans="2:6">
      <c r="B52" s="12"/>
      <c r="C52" s="12"/>
      <c r="D52" s="12"/>
      <c r="E52" s="12"/>
      <c r="F52" s="32"/>
    </row>
    <row r="53" ht="20.4" spans="2:6">
      <c r="B53" s="70"/>
      <c r="C53" s="70"/>
      <c r="D53" s="70"/>
      <c r="E53" s="94"/>
      <c r="F53" s="95"/>
    </row>
  </sheetData>
  <mergeCells count="3">
    <mergeCell ref="B1:F1"/>
    <mergeCell ref="C2:E2"/>
    <mergeCell ref="C24:E24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83"/>
  <sheetViews>
    <sheetView zoomScale="81" zoomScaleNormal="81" workbookViewId="0">
      <selection activeCell="J65" sqref="J65"/>
    </sheetView>
  </sheetViews>
  <sheetFormatPr defaultColWidth="9" defaultRowHeight="14.4"/>
  <cols>
    <col min="2" max="2" width="9.4537037037037" customWidth="1"/>
    <col min="3" max="3" width="15.7222222222222" customWidth="1"/>
    <col min="4" max="4" width="72.7222222222222" customWidth="1"/>
    <col min="5" max="5" width="24.4537037037037" customWidth="1"/>
    <col min="6" max="6" width="19.1759259259259" style="38" customWidth="1"/>
    <col min="7" max="7" width="11" customWidth="1"/>
    <col min="8" max="9" width="10.4537037037037" customWidth="1"/>
    <col min="10" max="10" width="11" style="40" customWidth="1"/>
  </cols>
  <sheetData>
    <row r="2" ht="17.4" spans="2:9">
      <c r="B2" s="41" t="s">
        <v>749</v>
      </c>
      <c r="C2" s="42"/>
      <c r="D2" s="42"/>
      <c r="E2" s="42"/>
      <c r="F2" s="43"/>
      <c r="G2" s="44"/>
      <c r="I2" s="39"/>
    </row>
    <row r="3" ht="17.4" spans="2:9">
      <c r="B3" s="45"/>
      <c r="C3" s="2" t="s">
        <v>750</v>
      </c>
      <c r="D3" s="3"/>
      <c r="E3" s="4"/>
      <c r="F3" s="47"/>
      <c r="I3" s="39"/>
    </row>
    <row r="4" ht="17.4" spans="2:6">
      <c r="B4" s="45"/>
      <c r="C4" s="45"/>
      <c r="D4" s="45"/>
      <c r="E4" s="45"/>
      <c r="F4" s="47"/>
    </row>
    <row r="5" ht="17.4" spans="2:9">
      <c r="B5" s="48" t="s">
        <v>721</v>
      </c>
      <c r="C5" s="48" t="s">
        <v>722</v>
      </c>
      <c r="D5" s="46" t="s">
        <v>723</v>
      </c>
      <c r="E5" s="48" t="s">
        <v>724</v>
      </c>
      <c r="F5" s="71" t="s">
        <v>725</v>
      </c>
      <c r="G5" s="44"/>
      <c r="I5" s="53"/>
    </row>
    <row r="6" ht="15.6" spans="2:9">
      <c r="B6" s="10">
        <v>1</v>
      </c>
      <c r="C6" s="963" t="s">
        <v>751</v>
      </c>
      <c r="D6" s="12" t="s">
        <v>752</v>
      </c>
      <c r="E6" s="33" t="s">
        <v>441</v>
      </c>
      <c r="F6" s="32">
        <v>33725.6118616</v>
      </c>
      <c r="G6" s="44"/>
      <c r="I6" s="53"/>
    </row>
    <row r="7" ht="15.6" spans="2:9">
      <c r="B7" s="10"/>
      <c r="C7" s="12"/>
      <c r="D7" s="12"/>
      <c r="E7" s="33" t="s">
        <v>159</v>
      </c>
      <c r="F7" s="32">
        <v>4249.0690051</v>
      </c>
      <c r="G7" s="44"/>
      <c r="I7" s="53"/>
    </row>
    <row r="8" ht="15.6" spans="2:9">
      <c r="B8" s="10"/>
      <c r="C8" s="12"/>
      <c r="D8" s="12"/>
      <c r="E8" s="33" t="s">
        <v>183</v>
      </c>
      <c r="F8" s="32">
        <v>2665.12161817</v>
      </c>
      <c r="G8" s="44"/>
      <c r="I8" s="53"/>
    </row>
    <row r="9" ht="15.6" spans="2:9">
      <c r="B9" s="10"/>
      <c r="C9" s="12"/>
      <c r="D9" s="12"/>
      <c r="E9" s="33" t="s">
        <v>728</v>
      </c>
      <c r="F9" s="32">
        <v>1813.29907848</v>
      </c>
      <c r="G9" s="44"/>
      <c r="I9" s="53"/>
    </row>
    <row r="10" ht="15.6" spans="2:9">
      <c r="B10" s="10"/>
      <c r="C10" s="12"/>
      <c r="D10" s="12"/>
      <c r="E10" s="33" t="s">
        <v>753</v>
      </c>
      <c r="F10" s="32">
        <v>1722.73239851</v>
      </c>
      <c r="G10" s="44"/>
      <c r="I10" s="53"/>
    </row>
    <row r="11" ht="15.6" spans="2:9">
      <c r="B11" s="10"/>
      <c r="C11" s="12"/>
      <c r="D11" s="12"/>
      <c r="E11" s="33"/>
      <c r="F11" s="32"/>
      <c r="G11" s="44"/>
      <c r="I11" s="53"/>
    </row>
    <row r="12" ht="15.6" spans="2:9">
      <c r="B12" s="10"/>
      <c r="C12" s="12"/>
      <c r="D12" s="12"/>
      <c r="E12" s="33"/>
      <c r="F12" s="32"/>
      <c r="G12" s="44"/>
      <c r="I12" s="53"/>
    </row>
    <row r="13" ht="15.6" spans="2:9">
      <c r="B13" s="10">
        <v>2</v>
      </c>
      <c r="C13" s="963" t="s">
        <v>337</v>
      </c>
      <c r="D13" s="12" t="s">
        <v>338</v>
      </c>
      <c r="E13" s="33" t="s">
        <v>171</v>
      </c>
      <c r="F13" s="32">
        <v>37227.66407</v>
      </c>
      <c r="I13" s="53"/>
    </row>
    <row r="14" ht="15.6" spans="2:6">
      <c r="B14" s="10"/>
      <c r="C14" s="12"/>
      <c r="D14" s="12"/>
      <c r="E14" s="33"/>
      <c r="F14" s="32"/>
    </row>
    <row r="15" ht="15.6" spans="2:9">
      <c r="B15" s="10"/>
      <c r="C15" s="12"/>
      <c r="D15" s="12"/>
      <c r="E15" s="33"/>
      <c r="F15" s="32"/>
      <c r="I15" s="53"/>
    </row>
    <row r="16" ht="15.6" spans="2:6">
      <c r="B16" s="10"/>
      <c r="C16" s="12"/>
      <c r="D16" s="12"/>
      <c r="E16" s="33"/>
      <c r="F16" s="32"/>
    </row>
    <row r="17" ht="15.6" spans="2:9">
      <c r="B17" s="10"/>
      <c r="C17" s="12"/>
      <c r="D17" s="12"/>
      <c r="E17" s="33"/>
      <c r="F17" s="32"/>
      <c r="I17" s="53"/>
    </row>
    <row r="18" ht="15.6" spans="2:9">
      <c r="B18" s="10"/>
      <c r="C18" s="12"/>
      <c r="D18" s="12"/>
      <c r="E18" s="33"/>
      <c r="F18" s="32"/>
      <c r="I18" s="53"/>
    </row>
    <row r="19" ht="15.6" spans="2:9">
      <c r="B19" s="10">
        <v>3</v>
      </c>
      <c r="C19" s="963" t="s">
        <v>754</v>
      </c>
      <c r="D19" s="12" t="s">
        <v>755</v>
      </c>
      <c r="E19" s="33" t="s">
        <v>441</v>
      </c>
      <c r="F19" s="32">
        <v>11339.02709766</v>
      </c>
      <c r="G19" s="44"/>
      <c r="I19" s="53"/>
    </row>
    <row r="20" ht="15.6" spans="2:9">
      <c r="B20" s="10"/>
      <c r="C20" s="12"/>
      <c r="D20" s="12"/>
      <c r="E20" s="33" t="s">
        <v>279</v>
      </c>
      <c r="F20" s="32">
        <v>8590.61081891</v>
      </c>
      <c r="G20" s="44"/>
      <c r="I20" s="53"/>
    </row>
    <row r="21" ht="15.6" spans="2:9">
      <c r="B21" s="10"/>
      <c r="C21" s="12"/>
      <c r="D21" s="12"/>
      <c r="E21" s="33" t="s">
        <v>159</v>
      </c>
      <c r="F21" s="32">
        <v>7846.05276676</v>
      </c>
      <c r="G21" s="44"/>
      <c r="I21" s="53"/>
    </row>
    <row r="22" ht="15.6" spans="2:9">
      <c r="B22" s="10"/>
      <c r="C22" s="12"/>
      <c r="D22" s="12"/>
      <c r="E22" s="33"/>
      <c r="F22" s="32"/>
      <c r="G22" s="44"/>
      <c r="I22" s="53"/>
    </row>
    <row r="23" ht="15.6" spans="2:9">
      <c r="B23" s="10"/>
      <c r="C23" s="12"/>
      <c r="D23" s="12"/>
      <c r="E23" s="33"/>
      <c r="F23" s="32"/>
      <c r="G23" s="44"/>
      <c r="H23" s="72"/>
      <c r="I23" s="53"/>
    </row>
    <row r="24" ht="15.6" spans="2:9">
      <c r="B24" s="10"/>
      <c r="C24" s="12"/>
      <c r="D24" s="12"/>
      <c r="E24" s="33"/>
      <c r="F24" s="32"/>
      <c r="G24" s="44"/>
      <c r="H24" s="72"/>
      <c r="I24" s="53"/>
    </row>
    <row r="25" ht="15.6" spans="2:9">
      <c r="B25" s="10">
        <v>4</v>
      </c>
      <c r="C25" s="963" t="s">
        <v>84</v>
      </c>
      <c r="D25" s="73" t="s">
        <v>85</v>
      </c>
      <c r="E25" s="33" t="s">
        <v>229</v>
      </c>
      <c r="F25" s="32">
        <v>5526.82106075</v>
      </c>
      <c r="H25" s="72"/>
      <c r="I25" s="53"/>
    </row>
    <row r="26" ht="15.6" spans="2:9">
      <c r="B26" s="10"/>
      <c r="C26" s="12"/>
      <c r="D26" s="12"/>
      <c r="E26" s="33" t="s">
        <v>213</v>
      </c>
      <c r="F26" s="32">
        <v>4470.17742879</v>
      </c>
      <c r="H26" s="72"/>
      <c r="I26" s="53"/>
    </row>
    <row r="27" ht="15.6" spans="2:9">
      <c r="B27" s="10"/>
      <c r="C27" s="12"/>
      <c r="D27" s="12"/>
      <c r="E27" s="33" t="s">
        <v>225</v>
      </c>
      <c r="F27" s="32">
        <v>1998.29004516</v>
      </c>
      <c r="H27" s="72"/>
      <c r="I27" s="53"/>
    </row>
    <row r="28" ht="15.6" spans="2:9">
      <c r="B28" s="10"/>
      <c r="C28" s="12"/>
      <c r="D28" s="12"/>
      <c r="E28" s="33" t="s">
        <v>285</v>
      </c>
      <c r="F28" s="32">
        <v>1827.29534244</v>
      </c>
      <c r="H28" s="72"/>
      <c r="I28" s="53"/>
    </row>
    <row r="29" ht="15.6" spans="2:9">
      <c r="B29" s="10"/>
      <c r="C29" s="12"/>
      <c r="D29" s="12"/>
      <c r="E29" s="33" t="s">
        <v>221</v>
      </c>
      <c r="F29" s="32">
        <v>1817.5798566</v>
      </c>
      <c r="H29" s="72"/>
      <c r="I29" s="53"/>
    </row>
    <row r="30" ht="15.6" spans="2:9">
      <c r="B30" s="10"/>
      <c r="C30" s="12"/>
      <c r="D30" s="12"/>
      <c r="E30" s="33"/>
      <c r="F30" s="32"/>
      <c r="G30" s="44"/>
      <c r="H30" s="72"/>
      <c r="I30" s="53"/>
    </row>
    <row r="31" ht="15.6" spans="2:9">
      <c r="B31" s="10"/>
      <c r="C31" s="12"/>
      <c r="D31" s="12"/>
      <c r="E31" s="33"/>
      <c r="F31" s="32"/>
      <c r="G31" s="44"/>
      <c r="H31" s="72"/>
      <c r="I31" s="53"/>
    </row>
    <row r="32" ht="15.6" spans="2:9">
      <c r="B32" s="10">
        <v>5</v>
      </c>
      <c r="C32" s="963" t="s">
        <v>756</v>
      </c>
      <c r="D32" s="12" t="s">
        <v>757</v>
      </c>
      <c r="E32" s="33" t="s">
        <v>274</v>
      </c>
      <c r="F32" s="32">
        <v>8048.61167863</v>
      </c>
      <c r="G32" s="44"/>
      <c r="H32" s="72"/>
      <c r="I32" s="53"/>
    </row>
    <row r="33" ht="15.6" spans="2:9">
      <c r="B33" s="10"/>
      <c r="C33" s="12"/>
      <c r="D33" s="12"/>
      <c r="E33" s="33" t="s">
        <v>165</v>
      </c>
      <c r="F33" s="32">
        <v>6626.00090425</v>
      </c>
      <c r="G33" s="44"/>
      <c r="H33" s="72"/>
      <c r="I33" s="53"/>
    </row>
    <row r="34" ht="15.6" spans="2:9">
      <c r="B34" s="10"/>
      <c r="C34" s="12"/>
      <c r="D34" s="12"/>
      <c r="E34" s="33" t="s">
        <v>196</v>
      </c>
      <c r="F34" s="32">
        <v>764.8154514</v>
      </c>
      <c r="G34" s="44"/>
      <c r="I34" s="53"/>
    </row>
    <row r="35" ht="15.6" spans="2:9">
      <c r="B35" s="10"/>
      <c r="C35" s="12"/>
      <c r="D35" s="12"/>
      <c r="E35" s="33" t="s">
        <v>171</v>
      </c>
      <c r="F35" s="32">
        <v>692.0263421</v>
      </c>
      <c r="I35" s="53"/>
    </row>
    <row r="36" ht="15.6" spans="2:9">
      <c r="B36" s="10"/>
      <c r="C36" s="12"/>
      <c r="D36" s="12"/>
      <c r="E36" s="33" t="s">
        <v>727</v>
      </c>
      <c r="F36" s="32">
        <v>203.75809038</v>
      </c>
      <c r="I36" s="53"/>
    </row>
    <row r="37" ht="15.6" spans="2:9">
      <c r="B37" s="10"/>
      <c r="C37" s="12"/>
      <c r="D37" s="12"/>
      <c r="E37" s="33"/>
      <c r="F37" s="32"/>
      <c r="I37" s="53"/>
    </row>
    <row r="38" ht="15.6" spans="2:9">
      <c r="B38" s="10"/>
      <c r="C38" s="12"/>
      <c r="D38" s="12"/>
      <c r="E38" s="74"/>
      <c r="F38" s="24"/>
      <c r="I38" s="53"/>
    </row>
    <row r="39" ht="17.4" spans="2:8">
      <c r="B39" s="57"/>
      <c r="C39" s="57"/>
      <c r="D39" s="75"/>
      <c r="E39" s="57"/>
      <c r="F39" s="47"/>
      <c r="H39" s="72"/>
    </row>
    <row r="40" ht="17.4" spans="2:9">
      <c r="B40" s="45"/>
      <c r="C40" s="2" t="s">
        <v>758</v>
      </c>
      <c r="D40" s="3"/>
      <c r="E40" s="4"/>
      <c r="F40" s="47"/>
      <c r="I40" s="53"/>
    </row>
    <row r="41" ht="17.4" spans="2:9">
      <c r="B41" s="48" t="s">
        <v>721</v>
      </c>
      <c r="C41" s="48" t="s">
        <v>722</v>
      </c>
      <c r="D41" s="46" t="s">
        <v>723</v>
      </c>
      <c r="E41" s="76" t="s">
        <v>724</v>
      </c>
      <c r="F41" s="71" t="s">
        <v>725</v>
      </c>
      <c r="I41" s="53"/>
    </row>
    <row r="42" ht="15.6" spans="2:9">
      <c r="B42" s="10">
        <v>1</v>
      </c>
      <c r="C42" s="963" t="s">
        <v>26</v>
      </c>
      <c r="D42" s="12" t="s">
        <v>27</v>
      </c>
      <c r="E42" s="33" t="s">
        <v>157</v>
      </c>
      <c r="F42" s="32">
        <v>146113.499222</v>
      </c>
      <c r="I42" s="53"/>
    </row>
    <row r="43" ht="15.6" spans="2:9">
      <c r="B43" s="10"/>
      <c r="C43" s="12"/>
      <c r="D43" s="12"/>
      <c r="E43" s="33" t="s">
        <v>159</v>
      </c>
      <c r="F43" s="32">
        <v>54637.246624</v>
      </c>
      <c r="G43" s="44"/>
      <c r="I43" s="53"/>
    </row>
    <row r="44" ht="15.6" spans="2:9">
      <c r="B44" s="10"/>
      <c r="C44" s="12"/>
      <c r="D44" s="12"/>
      <c r="E44" s="33" t="s">
        <v>181</v>
      </c>
      <c r="F44" s="32">
        <v>8454.029539</v>
      </c>
      <c r="G44" s="44"/>
      <c r="I44" s="53"/>
    </row>
    <row r="45" ht="15.6" spans="2:9">
      <c r="B45" s="10"/>
      <c r="C45" s="12"/>
      <c r="D45" s="12"/>
      <c r="E45" s="12" t="s">
        <v>165</v>
      </c>
      <c r="F45" s="32">
        <v>1.556665</v>
      </c>
      <c r="G45" s="44"/>
      <c r="I45" s="53"/>
    </row>
    <row r="46" ht="15.6" spans="2:9">
      <c r="B46" s="10"/>
      <c r="C46" s="12"/>
      <c r="D46" s="12"/>
      <c r="E46" s="12" t="s">
        <v>759</v>
      </c>
      <c r="F46" s="32">
        <v>0.464835</v>
      </c>
      <c r="G46" s="44"/>
      <c r="I46" s="53"/>
    </row>
    <row r="47" ht="15.6" spans="2:9">
      <c r="B47" s="10"/>
      <c r="C47" s="10"/>
      <c r="D47" s="12"/>
      <c r="E47" s="33"/>
      <c r="F47" s="32"/>
      <c r="G47" s="44"/>
      <c r="I47" s="53"/>
    </row>
    <row r="48" ht="15.6" spans="2:9">
      <c r="B48" s="10">
        <v>2</v>
      </c>
      <c r="C48" s="963" t="s">
        <v>30</v>
      </c>
      <c r="D48" s="12" t="s">
        <v>31</v>
      </c>
      <c r="E48" s="33" t="s">
        <v>159</v>
      </c>
      <c r="F48" s="32">
        <v>120150.393938</v>
      </c>
      <c r="G48" s="44"/>
      <c r="I48" s="53"/>
    </row>
    <row r="49" ht="15.6" spans="2:9">
      <c r="B49" s="10"/>
      <c r="C49" s="12"/>
      <c r="D49" s="12"/>
      <c r="E49" s="12" t="s">
        <v>165</v>
      </c>
      <c r="F49" s="13">
        <v>12056.978987</v>
      </c>
      <c r="G49" s="44"/>
      <c r="I49" s="53"/>
    </row>
    <row r="50" ht="15.6" spans="2:8">
      <c r="B50" s="10"/>
      <c r="C50" s="12"/>
      <c r="D50" s="77"/>
      <c r="E50" s="33" t="s">
        <v>753</v>
      </c>
      <c r="F50" s="13">
        <v>4927.133168</v>
      </c>
      <c r="H50" s="72"/>
    </row>
    <row r="51" ht="15.6" spans="2:9">
      <c r="B51" s="10"/>
      <c r="C51" s="10"/>
      <c r="D51" s="77"/>
      <c r="E51" s="78" t="s">
        <v>760</v>
      </c>
      <c r="F51" s="13">
        <v>623.349948</v>
      </c>
      <c r="G51" s="44"/>
      <c r="I51" s="53"/>
    </row>
    <row r="52" ht="15.6" spans="2:9">
      <c r="B52" s="10"/>
      <c r="C52" s="12"/>
      <c r="D52" s="1"/>
      <c r="E52" s="33" t="s">
        <v>162</v>
      </c>
      <c r="F52" s="13">
        <v>556.258435</v>
      </c>
      <c r="G52" s="44"/>
      <c r="I52" s="53"/>
    </row>
    <row r="53" ht="15.6" spans="2:9">
      <c r="B53" s="10"/>
      <c r="C53" s="12"/>
      <c r="D53" s="12"/>
      <c r="E53" s="12"/>
      <c r="F53" s="13"/>
      <c r="G53" s="44"/>
      <c r="I53" s="53"/>
    </row>
    <row r="54" ht="15.6" spans="2:9">
      <c r="B54" s="10">
        <v>3</v>
      </c>
      <c r="C54" s="963" t="s">
        <v>34</v>
      </c>
      <c r="D54" s="12" t="s">
        <v>35</v>
      </c>
      <c r="E54" s="12" t="s">
        <v>183</v>
      </c>
      <c r="F54" s="13">
        <v>83309.965086</v>
      </c>
      <c r="G54" s="44"/>
      <c r="I54" s="53"/>
    </row>
    <row r="55" ht="15.6" spans="2:9">
      <c r="B55" s="10"/>
      <c r="C55" s="12"/>
      <c r="D55" s="12"/>
      <c r="E55" s="33" t="s">
        <v>191</v>
      </c>
      <c r="F55" s="13">
        <v>20353.506036</v>
      </c>
      <c r="G55" s="44"/>
      <c r="I55" s="53"/>
    </row>
    <row r="56" ht="15.6" spans="2:9">
      <c r="B56" s="79"/>
      <c r="C56" s="12"/>
      <c r="D56" s="12"/>
      <c r="E56" s="12" t="s">
        <v>279</v>
      </c>
      <c r="F56" s="13">
        <v>15337.667676</v>
      </c>
      <c r="G56" s="44"/>
      <c r="I56" s="53"/>
    </row>
    <row r="57" ht="15.6" spans="2:9">
      <c r="B57" s="79"/>
      <c r="C57" s="12"/>
      <c r="D57" s="12"/>
      <c r="E57" s="12" t="s">
        <v>159</v>
      </c>
      <c r="F57" s="13">
        <v>6773.598785</v>
      </c>
      <c r="G57" s="44"/>
      <c r="I57" s="53"/>
    </row>
    <row r="58" ht="15.6" spans="2:9">
      <c r="B58" s="79"/>
      <c r="C58" s="12"/>
      <c r="D58" s="12"/>
      <c r="E58" s="12" t="s">
        <v>726</v>
      </c>
      <c r="F58" s="13">
        <v>3599.411661</v>
      </c>
      <c r="G58" s="44"/>
      <c r="I58" s="53"/>
    </row>
    <row r="59" ht="15.6" spans="2:9">
      <c r="B59" s="12"/>
      <c r="C59" s="12"/>
      <c r="D59" s="12"/>
      <c r="E59" s="12"/>
      <c r="F59" s="13"/>
      <c r="G59" s="44"/>
      <c r="I59" s="53"/>
    </row>
    <row r="60" ht="15.6" spans="2:9">
      <c r="B60" s="10">
        <v>4</v>
      </c>
      <c r="C60" s="964" t="s">
        <v>38</v>
      </c>
      <c r="D60" s="1" t="s">
        <v>761</v>
      </c>
      <c r="E60" s="81" t="s">
        <v>159</v>
      </c>
      <c r="F60" s="82">
        <v>132812.669079</v>
      </c>
      <c r="G60" s="44"/>
      <c r="I60" s="53"/>
    </row>
    <row r="61" ht="15.6" spans="2:9">
      <c r="B61" s="12"/>
      <c r="C61" s="12"/>
      <c r="D61" s="12"/>
      <c r="E61" s="33" t="s">
        <v>157</v>
      </c>
      <c r="F61" s="32">
        <v>2706.206311</v>
      </c>
      <c r="G61" s="44"/>
      <c r="I61" s="53"/>
    </row>
    <row r="62" ht="15.6" spans="2:6">
      <c r="B62" s="12"/>
      <c r="C62" s="1"/>
      <c r="D62" s="12"/>
      <c r="E62" s="33" t="s">
        <v>168</v>
      </c>
      <c r="F62" s="32">
        <v>477.395175</v>
      </c>
    </row>
    <row r="63" ht="15.6" spans="2:9">
      <c r="B63" s="12"/>
      <c r="C63" s="12"/>
      <c r="D63" s="12"/>
      <c r="E63" s="78"/>
      <c r="F63" s="32"/>
      <c r="G63" s="44"/>
      <c r="I63" s="53"/>
    </row>
    <row r="64" ht="15.6" spans="2:9">
      <c r="B64" s="12"/>
      <c r="C64" s="12"/>
      <c r="D64" s="12"/>
      <c r="E64" s="33"/>
      <c r="F64" s="32"/>
      <c r="G64" s="44"/>
      <c r="I64" s="53"/>
    </row>
    <row r="65" ht="15.6" spans="2:9">
      <c r="B65" s="12"/>
      <c r="C65" s="12"/>
      <c r="D65" s="12"/>
      <c r="E65" s="33"/>
      <c r="F65" s="32"/>
      <c r="G65" s="44"/>
      <c r="I65" s="53"/>
    </row>
    <row r="66" ht="15.6" spans="2:9">
      <c r="B66" s="83">
        <v>5</v>
      </c>
      <c r="C66" s="12" t="s">
        <v>42</v>
      </c>
      <c r="D66" s="12" t="s">
        <v>43</v>
      </c>
      <c r="E66" s="12" t="s">
        <v>165</v>
      </c>
      <c r="F66" s="32">
        <v>93507.372246</v>
      </c>
      <c r="G66" s="44"/>
      <c r="I66" s="53"/>
    </row>
    <row r="67" ht="15.6" spans="2:9">
      <c r="B67" s="10"/>
      <c r="C67" s="12"/>
      <c r="D67" s="12"/>
      <c r="E67" s="12" t="s">
        <v>173</v>
      </c>
      <c r="F67" s="32">
        <v>8482.702268</v>
      </c>
      <c r="G67" s="44"/>
      <c r="I67" s="53"/>
    </row>
    <row r="68" ht="15.6" spans="2:6">
      <c r="B68" s="10"/>
      <c r="C68" s="70"/>
      <c r="D68" s="70"/>
      <c r="E68" s="70" t="s">
        <v>759</v>
      </c>
      <c r="F68" s="84">
        <v>4836.186503</v>
      </c>
    </row>
    <row r="69" ht="15.6" spans="2:8">
      <c r="B69" s="10"/>
      <c r="C69" s="70"/>
      <c r="D69" s="70"/>
      <c r="E69" s="70" t="s">
        <v>186</v>
      </c>
      <c r="F69" s="84">
        <v>3719.33278</v>
      </c>
      <c r="H69" s="72"/>
    </row>
    <row r="70" ht="15.6" spans="2:8">
      <c r="B70" s="10"/>
      <c r="C70" s="70"/>
      <c r="D70" s="70"/>
      <c r="E70" s="70" t="s">
        <v>196</v>
      </c>
      <c r="F70" s="84">
        <v>2813.249733</v>
      </c>
      <c r="H70" s="72"/>
    </row>
    <row r="72" spans="8:8">
      <c r="H72" s="72"/>
    </row>
    <row r="73" spans="8:8">
      <c r="H73" s="72"/>
    </row>
    <row r="74" spans="8:8">
      <c r="H74" s="72"/>
    </row>
    <row r="75" spans="8:8">
      <c r="H75" s="72"/>
    </row>
    <row r="76" spans="8:8">
      <c r="H76" s="72"/>
    </row>
    <row r="77" spans="8:8">
      <c r="H77" s="72"/>
    </row>
    <row r="79" spans="8:8">
      <c r="H79" s="72"/>
    </row>
    <row r="80" spans="8:8">
      <c r="H80" s="72"/>
    </row>
    <row r="81" spans="8:8">
      <c r="H81" s="72"/>
    </row>
    <row r="82" spans="8:8">
      <c r="H82" s="72"/>
    </row>
    <row r="83" spans="8:8">
      <c r="H83" s="72"/>
    </row>
  </sheetData>
  <mergeCells count="3">
    <mergeCell ref="B2:F2"/>
    <mergeCell ref="C3:E3"/>
    <mergeCell ref="C40:E40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1"/>
  <sheetViews>
    <sheetView zoomScale="82" zoomScaleNormal="82" workbookViewId="0">
      <selection activeCell="D12" sqref="D12"/>
    </sheetView>
  </sheetViews>
  <sheetFormatPr defaultColWidth="9" defaultRowHeight="14.4"/>
  <cols>
    <col min="2" max="2" width="12.1759259259259" customWidth="1"/>
    <col min="3" max="3" width="21.7222222222222" customWidth="1"/>
    <col min="4" max="4" width="91.1759259259259" customWidth="1"/>
    <col min="5" max="5" width="23.2685185185185" customWidth="1"/>
    <col min="6" max="6" width="19.7222222222222" style="38" customWidth="1"/>
    <col min="7" max="7" width="11.4537037037037" customWidth="1"/>
    <col min="9" max="9" width="11" style="39" customWidth="1"/>
    <col min="10" max="10" width="11.4537037037037" style="40" customWidth="1"/>
  </cols>
  <sheetData>
    <row r="2" ht="17.4" spans="2:7">
      <c r="B2" s="41" t="s">
        <v>762</v>
      </c>
      <c r="C2" s="42"/>
      <c r="D2" s="42"/>
      <c r="E2" s="42"/>
      <c r="F2" s="43"/>
      <c r="G2" s="44"/>
    </row>
    <row r="3" ht="17.4" spans="2:7">
      <c r="B3" s="45"/>
      <c r="C3" s="45"/>
      <c r="D3" s="46" t="s">
        <v>763</v>
      </c>
      <c r="E3" s="45"/>
      <c r="F3" s="47"/>
      <c r="G3" s="44"/>
    </row>
    <row r="4" ht="17.4" spans="2:7">
      <c r="B4" s="45"/>
      <c r="C4" s="45"/>
      <c r="D4" s="45"/>
      <c r="E4" s="45"/>
      <c r="F4" s="47"/>
      <c r="G4" s="44"/>
    </row>
    <row r="5" ht="17.4" spans="2:7">
      <c r="B5" s="48" t="s">
        <v>721</v>
      </c>
      <c r="C5" s="48" t="s">
        <v>722</v>
      </c>
      <c r="D5" s="46" t="s">
        <v>723</v>
      </c>
      <c r="E5" s="48" t="s">
        <v>724</v>
      </c>
      <c r="F5" s="46" t="s">
        <v>725</v>
      </c>
      <c r="G5" s="44"/>
    </row>
    <row r="6" ht="17.4" spans="2:8">
      <c r="B6" s="49">
        <v>1</v>
      </c>
      <c r="C6" s="965" t="s">
        <v>20</v>
      </c>
      <c r="D6" s="50" t="s">
        <v>21</v>
      </c>
      <c r="E6" s="45" t="s">
        <v>178</v>
      </c>
      <c r="F6" s="51">
        <v>368333.9190035</v>
      </c>
      <c r="G6" s="52"/>
      <c r="H6" s="53"/>
    </row>
    <row r="7" ht="17.4" spans="2:8">
      <c r="B7" s="49"/>
      <c r="C7" s="45"/>
      <c r="D7" s="45"/>
      <c r="E7" s="45" t="s">
        <v>165</v>
      </c>
      <c r="F7" s="54">
        <v>240168.39392728</v>
      </c>
      <c r="G7" s="52"/>
      <c r="H7" s="53"/>
    </row>
    <row r="8" ht="17.4" spans="2:8">
      <c r="B8" s="49"/>
      <c r="C8" s="45"/>
      <c r="D8" s="45"/>
      <c r="E8" s="45" t="s">
        <v>157</v>
      </c>
      <c r="F8" s="54">
        <v>154338.85416441</v>
      </c>
      <c r="G8" s="52"/>
      <c r="H8" s="53"/>
    </row>
    <row r="9" ht="17.4" spans="2:8">
      <c r="B9" s="49"/>
      <c r="C9" s="45"/>
      <c r="D9" s="45"/>
      <c r="E9" s="45" t="s">
        <v>168</v>
      </c>
      <c r="F9" s="51">
        <v>17458.03054195</v>
      </c>
      <c r="G9" s="52"/>
      <c r="H9" s="53"/>
    </row>
    <row r="10" ht="17.4" spans="2:8">
      <c r="B10" s="45"/>
      <c r="C10" s="45"/>
      <c r="D10" s="45"/>
      <c r="E10" s="45" t="s">
        <v>274</v>
      </c>
      <c r="F10" s="54">
        <v>17371.09400727</v>
      </c>
      <c r="G10" s="52"/>
      <c r="H10" s="53"/>
    </row>
    <row r="11" ht="17.4" spans="2:8">
      <c r="B11" s="45"/>
      <c r="C11" s="45"/>
      <c r="D11" s="45"/>
      <c r="E11" s="45"/>
      <c r="F11" s="54"/>
      <c r="G11" s="52"/>
      <c r="H11" s="53"/>
    </row>
    <row r="12" ht="17.4" spans="2:8">
      <c r="B12" s="49">
        <v>2</v>
      </c>
      <c r="C12" s="55" t="s">
        <v>56</v>
      </c>
      <c r="D12" s="55" t="s">
        <v>57</v>
      </c>
      <c r="E12" s="45" t="s">
        <v>764</v>
      </c>
      <c r="F12" s="54">
        <v>79101.39459489</v>
      </c>
      <c r="G12" s="52"/>
      <c r="H12" s="53"/>
    </row>
    <row r="13" ht="17.4" spans="2:8">
      <c r="B13" s="49"/>
      <c r="C13" s="45"/>
      <c r="D13" s="50"/>
      <c r="E13" s="45" t="s">
        <v>227</v>
      </c>
      <c r="F13" s="54">
        <v>9465.96982176</v>
      </c>
      <c r="G13" s="52"/>
      <c r="H13" s="53"/>
    </row>
    <row r="14" ht="17.4" spans="2:8">
      <c r="B14" s="49"/>
      <c r="C14" s="45"/>
      <c r="D14" s="50"/>
      <c r="E14" s="45"/>
      <c r="F14" s="54"/>
      <c r="G14" s="52"/>
      <c r="H14" s="53"/>
    </row>
    <row r="15" ht="17.4" spans="2:8">
      <c r="B15" s="49">
        <v>3</v>
      </c>
      <c r="C15" s="965" t="s">
        <v>765</v>
      </c>
      <c r="D15" s="50" t="s">
        <v>766</v>
      </c>
      <c r="E15" s="45" t="s">
        <v>311</v>
      </c>
      <c r="F15" s="54">
        <v>32974.16381</v>
      </c>
      <c r="G15" s="52"/>
      <c r="H15" s="53"/>
    </row>
    <row r="16" ht="17.4" spans="2:8">
      <c r="B16" s="49"/>
      <c r="C16" s="45"/>
      <c r="D16" s="50"/>
      <c r="E16" s="45" t="s">
        <v>162</v>
      </c>
      <c r="F16" s="54">
        <v>331.19928</v>
      </c>
      <c r="G16" s="52"/>
      <c r="H16" s="53"/>
    </row>
    <row r="17" ht="17.4" spans="2:8">
      <c r="B17" s="49"/>
      <c r="C17" s="45"/>
      <c r="D17" s="50"/>
      <c r="E17" s="45" t="s">
        <v>753</v>
      </c>
      <c r="F17" s="54">
        <v>331.07832</v>
      </c>
      <c r="G17" s="52"/>
      <c r="H17" s="53"/>
    </row>
    <row r="18" ht="17.4" spans="2:8">
      <c r="B18" s="49"/>
      <c r="C18" s="45"/>
      <c r="D18" s="50"/>
      <c r="E18" s="45" t="s">
        <v>196</v>
      </c>
      <c r="F18" s="54">
        <v>19.92601</v>
      </c>
      <c r="G18" s="52"/>
      <c r="H18" s="53"/>
    </row>
    <row r="19" ht="17.4" spans="2:8">
      <c r="B19" s="49"/>
      <c r="C19" s="45"/>
      <c r="D19" s="50"/>
      <c r="E19" s="45"/>
      <c r="F19" s="54"/>
      <c r="G19" s="52"/>
      <c r="H19" s="53"/>
    </row>
    <row r="20" ht="17.4" spans="2:8">
      <c r="B20" s="49"/>
      <c r="C20" s="45"/>
      <c r="D20" s="50"/>
      <c r="E20" s="45"/>
      <c r="F20" s="54"/>
      <c r="G20" s="52"/>
      <c r="H20" s="53"/>
    </row>
    <row r="21" ht="17.4" spans="2:8">
      <c r="B21" s="49">
        <v>4</v>
      </c>
      <c r="C21" s="966" t="s">
        <v>525</v>
      </c>
      <c r="D21" s="50" t="s">
        <v>526</v>
      </c>
      <c r="E21" s="45" t="s">
        <v>165</v>
      </c>
      <c r="F21" s="54">
        <v>5334.89028306</v>
      </c>
      <c r="G21" s="52"/>
      <c r="H21" s="53"/>
    </row>
    <row r="22" ht="17.4" spans="2:8">
      <c r="B22" s="49"/>
      <c r="C22" s="50"/>
      <c r="D22" s="50"/>
      <c r="E22" s="45" t="s">
        <v>157</v>
      </c>
      <c r="F22" s="54">
        <v>4600.57610951</v>
      </c>
      <c r="G22" s="52"/>
      <c r="H22" s="53"/>
    </row>
    <row r="23" ht="17.4" spans="2:8">
      <c r="B23" s="49"/>
      <c r="C23" s="50"/>
      <c r="D23" s="50"/>
      <c r="E23" s="45" t="s">
        <v>194</v>
      </c>
      <c r="F23" s="54">
        <v>2466.74027107</v>
      </c>
      <c r="G23" s="52"/>
      <c r="H23" s="53"/>
    </row>
    <row r="24" ht="17.4" spans="2:8">
      <c r="B24" s="49"/>
      <c r="C24" s="50"/>
      <c r="D24" s="50"/>
      <c r="E24" s="45" t="s">
        <v>171</v>
      </c>
      <c r="F24" s="54">
        <v>2253.5366147</v>
      </c>
      <c r="G24" s="52"/>
      <c r="H24" s="53"/>
    </row>
    <row r="25" ht="17.4" spans="2:8">
      <c r="B25" s="49"/>
      <c r="C25" s="50"/>
      <c r="D25" s="50"/>
      <c r="E25" s="45" t="s">
        <v>191</v>
      </c>
      <c r="F25" s="54">
        <v>2184.04851235</v>
      </c>
      <c r="G25" s="52"/>
      <c r="H25" s="53"/>
    </row>
    <row r="26" ht="17.4" spans="2:8">
      <c r="B26" s="49"/>
      <c r="C26" s="50"/>
      <c r="D26" s="50"/>
      <c r="E26" s="45"/>
      <c r="F26" s="54"/>
      <c r="G26" s="52"/>
      <c r="H26" s="53"/>
    </row>
    <row r="27" ht="17.4" spans="2:9">
      <c r="B27" s="49"/>
      <c r="C27" s="50"/>
      <c r="D27" s="50"/>
      <c r="E27" s="45"/>
      <c r="F27" s="54"/>
      <c r="G27" s="52"/>
      <c r="H27" s="53"/>
      <c r="I27" s="53"/>
    </row>
    <row r="28" ht="17.4" spans="2:8">
      <c r="B28" s="49">
        <v>5</v>
      </c>
      <c r="C28" s="966" t="s">
        <v>252</v>
      </c>
      <c r="D28" s="50" t="s">
        <v>253</v>
      </c>
      <c r="E28" s="45" t="s">
        <v>196</v>
      </c>
      <c r="F28" s="54">
        <v>445.87383839</v>
      </c>
      <c r="G28" s="52"/>
      <c r="H28" s="53"/>
    </row>
    <row r="29" ht="17.4" spans="2:8">
      <c r="B29" s="49"/>
      <c r="C29" s="50"/>
      <c r="D29" s="50"/>
      <c r="E29" s="45" t="s">
        <v>176</v>
      </c>
      <c r="F29" s="54">
        <v>76.94667595</v>
      </c>
      <c r="G29" s="52"/>
      <c r="H29" s="53"/>
    </row>
    <row r="30" ht="17.4" spans="2:8">
      <c r="B30" s="49"/>
      <c r="C30" s="45"/>
      <c r="D30" s="50"/>
      <c r="E30" s="45" t="s">
        <v>165</v>
      </c>
      <c r="F30" s="54">
        <v>30.5649975</v>
      </c>
      <c r="G30" s="52"/>
      <c r="H30" s="53"/>
    </row>
    <row r="31" ht="17.4" spans="2:8">
      <c r="B31" s="49"/>
      <c r="C31" s="45"/>
      <c r="D31" s="50"/>
      <c r="E31" s="45" t="s">
        <v>207</v>
      </c>
      <c r="F31" s="54">
        <v>22.41087849</v>
      </c>
      <c r="G31" s="52"/>
      <c r="H31" s="53"/>
    </row>
    <row r="32" ht="17.4" spans="2:8">
      <c r="B32" s="49"/>
      <c r="C32" s="45"/>
      <c r="D32" s="50"/>
      <c r="G32" s="52"/>
      <c r="H32" s="53"/>
    </row>
    <row r="33" ht="17.4" spans="2:9">
      <c r="B33" s="49"/>
      <c r="C33" s="45"/>
      <c r="D33" s="50"/>
      <c r="E33" s="45"/>
      <c r="F33" s="54"/>
      <c r="G33" s="52"/>
      <c r="H33" s="53"/>
      <c r="I33" s="53"/>
    </row>
    <row r="34" ht="17.4" spans="2:9">
      <c r="B34" s="49"/>
      <c r="C34" s="45"/>
      <c r="D34" s="46" t="s">
        <v>767</v>
      </c>
      <c r="E34" s="45"/>
      <c r="F34" s="54"/>
      <c r="G34" s="52"/>
      <c r="H34" s="53"/>
      <c r="I34" s="53"/>
    </row>
    <row r="35" ht="17.4" spans="2:9">
      <c r="B35" s="46" t="s">
        <v>721</v>
      </c>
      <c r="C35" s="48" t="s">
        <v>722</v>
      </c>
      <c r="D35" s="46" t="s">
        <v>723</v>
      </c>
      <c r="E35" s="48"/>
      <c r="F35" s="48"/>
      <c r="G35" s="52"/>
      <c r="H35" s="53"/>
      <c r="I35" s="53"/>
    </row>
    <row r="36" ht="17.4" spans="2:9">
      <c r="B36" s="49">
        <v>1</v>
      </c>
      <c r="C36" s="967" t="s">
        <v>18</v>
      </c>
      <c r="D36" s="57" t="s">
        <v>768</v>
      </c>
      <c r="E36" s="45" t="s">
        <v>178</v>
      </c>
      <c r="F36" s="54">
        <v>304358.233383</v>
      </c>
      <c r="G36" s="52"/>
      <c r="H36" s="53"/>
      <c r="I36" s="53"/>
    </row>
    <row r="37" ht="17.4" spans="2:9">
      <c r="B37" s="49"/>
      <c r="C37" s="56"/>
      <c r="D37" s="50"/>
      <c r="E37" s="45" t="s">
        <v>162</v>
      </c>
      <c r="F37" s="54">
        <v>1376.709932</v>
      </c>
      <c r="G37" s="52"/>
      <c r="H37" s="53"/>
      <c r="I37" s="53"/>
    </row>
    <row r="38" ht="17.4" spans="2:9">
      <c r="B38" s="49"/>
      <c r="C38" s="56"/>
      <c r="D38" s="50"/>
      <c r="E38" s="45"/>
      <c r="F38" s="54"/>
      <c r="G38" s="52"/>
      <c r="H38" s="53"/>
      <c r="I38" s="53"/>
    </row>
    <row r="39" ht="17.4" spans="2:9">
      <c r="B39" s="49"/>
      <c r="C39" s="45"/>
      <c r="D39" s="45"/>
      <c r="E39" s="45"/>
      <c r="F39" s="54"/>
      <c r="G39" s="52"/>
      <c r="H39" s="53"/>
      <c r="I39" s="53"/>
    </row>
    <row r="40" ht="17.4" spans="2:9">
      <c r="B40" s="49">
        <v>2</v>
      </c>
      <c r="C40" s="58" t="s">
        <v>58</v>
      </c>
      <c r="D40" s="57" t="s">
        <v>59</v>
      </c>
      <c r="E40" s="45" t="s">
        <v>165</v>
      </c>
      <c r="F40" s="54">
        <v>60115.657957</v>
      </c>
      <c r="G40" s="52"/>
      <c r="H40" s="53"/>
      <c r="I40" s="53"/>
    </row>
    <row r="41" ht="17.4" spans="2:9">
      <c r="B41" s="49"/>
      <c r="C41" s="45"/>
      <c r="D41" s="59"/>
      <c r="E41" s="45" t="s">
        <v>196</v>
      </c>
      <c r="F41" s="54">
        <v>15298.58442</v>
      </c>
      <c r="G41" s="52"/>
      <c r="H41" s="53"/>
      <c r="I41" s="53"/>
    </row>
    <row r="42" ht="17.4" spans="2:9">
      <c r="B42" s="49"/>
      <c r="C42" s="45"/>
      <c r="D42" s="59"/>
      <c r="E42" s="45" t="s">
        <v>733</v>
      </c>
      <c r="F42" s="54">
        <v>9463.212872</v>
      </c>
      <c r="G42" s="52"/>
      <c r="H42" s="53"/>
      <c r="I42" s="53"/>
    </row>
    <row r="43" ht="17.4" spans="2:9">
      <c r="B43" s="49"/>
      <c r="C43" s="45"/>
      <c r="D43" s="49"/>
      <c r="E43" s="60" t="s">
        <v>168</v>
      </c>
      <c r="F43" s="54">
        <v>8702.894935</v>
      </c>
      <c r="G43" s="52"/>
      <c r="H43" s="53"/>
      <c r="I43" s="53"/>
    </row>
    <row r="44" ht="17.4" spans="2:9">
      <c r="B44" s="49"/>
      <c r="C44" s="45"/>
      <c r="D44" s="49"/>
      <c r="E44" s="45" t="s">
        <v>176</v>
      </c>
      <c r="F44" s="54">
        <v>7404.071501</v>
      </c>
      <c r="G44" s="52"/>
      <c r="H44" s="53"/>
      <c r="I44" s="53"/>
    </row>
    <row r="45" ht="17.4" spans="2:9">
      <c r="B45" s="49"/>
      <c r="C45" s="45"/>
      <c r="D45" s="45"/>
      <c r="E45" s="45"/>
      <c r="F45" s="54"/>
      <c r="G45" s="52"/>
      <c r="H45" s="53"/>
      <c r="I45" s="53"/>
    </row>
    <row r="46" ht="17.4" spans="2:9">
      <c r="B46" s="49"/>
      <c r="C46" s="45"/>
      <c r="D46" s="45"/>
      <c r="E46" s="45"/>
      <c r="F46" s="54"/>
      <c r="G46" s="52"/>
      <c r="H46" s="53"/>
      <c r="I46" s="53"/>
    </row>
    <row r="47" ht="17.4" spans="2:8">
      <c r="B47" s="61">
        <v>3</v>
      </c>
      <c r="C47" s="968" t="s">
        <v>70</v>
      </c>
      <c r="D47" s="63" t="s">
        <v>71</v>
      </c>
      <c r="E47" s="64" t="s">
        <v>219</v>
      </c>
      <c r="F47" s="65">
        <v>52480.022667</v>
      </c>
      <c r="G47" s="52"/>
      <c r="H47" s="53"/>
    </row>
    <row r="48" ht="17.4" spans="2:8">
      <c r="B48" s="61"/>
      <c r="C48" s="62"/>
      <c r="D48" s="63"/>
      <c r="E48" s="64" t="s">
        <v>466</v>
      </c>
      <c r="F48" s="65">
        <v>5992.475152</v>
      </c>
      <c r="G48" s="52"/>
      <c r="H48" s="53"/>
    </row>
    <row r="49" ht="17.4" spans="2:8">
      <c r="B49" s="61"/>
      <c r="C49" s="62"/>
      <c r="D49" s="63"/>
      <c r="E49" s="64" t="s">
        <v>231</v>
      </c>
      <c r="F49" s="65">
        <v>4978.471413</v>
      </c>
      <c r="G49" s="52"/>
      <c r="H49" s="53"/>
    </row>
    <row r="50" ht="17.4" spans="2:8">
      <c r="B50" s="61"/>
      <c r="C50" s="62"/>
      <c r="D50" s="63"/>
      <c r="E50" s="64" t="s">
        <v>451</v>
      </c>
      <c r="F50" s="65">
        <v>2936.272565</v>
      </c>
      <c r="G50" s="52"/>
      <c r="H50" s="53"/>
    </row>
    <row r="51" ht="17.4" spans="2:8">
      <c r="B51" s="49"/>
      <c r="C51" s="62"/>
      <c r="D51" s="63"/>
      <c r="E51" s="64" t="s">
        <v>474</v>
      </c>
      <c r="F51" s="65">
        <v>2064.181235</v>
      </c>
      <c r="G51" s="52"/>
      <c r="H51" s="53"/>
    </row>
    <row r="52" ht="17.4" spans="2:9">
      <c r="B52" s="49"/>
      <c r="C52" s="45"/>
      <c r="D52" s="45"/>
      <c r="E52" s="45"/>
      <c r="F52" s="54"/>
      <c r="G52" s="52"/>
      <c r="H52" s="53"/>
      <c r="I52" s="53"/>
    </row>
    <row r="53" ht="17.4" spans="2:9">
      <c r="B53" s="49"/>
      <c r="C53" s="66"/>
      <c r="D53" s="49"/>
      <c r="E53" s="45"/>
      <c r="F53" s="67"/>
      <c r="G53" s="52"/>
      <c r="H53" s="53"/>
      <c r="I53" s="53"/>
    </row>
    <row r="54" ht="17.4" spans="2:9">
      <c r="B54" s="49">
        <v>4</v>
      </c>
      <c r="C54" s="969" t="s">
        <v>769</v>
      </c>
      <c r="D54" s="68" t="s">
        <v>770</v>
      </c>
      <c r="E54" s="45" t="s">
        <v>171</v>
      </c>
      <c r="F54" s="67">
        <v>62725.275397</v>
      </c>
      <c r="G54" s="52"/>
      <c r="H54" s="53"/>
      <c r="I54" s="53"/>
    </row>
    <row r="55" ht="17.4" spans="2:9">
      <c r="B55" s="49"/>
      <c r="C55" s="66"/>
      <c r="D55" s="59"/>
      <c r="E55" s="45" t="s">
        <v>183</v>
      </c>
      <c r="F55" s="67">
        <v>4135.54477</v>
      </c>
      <c r="G55" s="52"/>
      <c r="H55" s="53"/>
      <c r="I55" s="53"/>
    </row>
    <row r="56" ht="17.4" spans="2:9">
      <c r="B56" s="49"/>
      <c r="C56" s="66"/>
      <c r="D56" s="59"/>
      <c r="E56" s="45" t="s">
        <v>162</v>
      </c>
      <c r="F56" s="67">
        <v>5.27896</v>
      </c>
      <c r="G56" s="52"/>
      <c r="H56" s="53"/>
      <c r="I56" s="53"/>
    </row>
    <row r="57" ht="17.4" spans="2:9">
      <c r="B57" s="49"/>
      <c r="C57" s="45"/>
      <c r="D57" s="68"/>
      <c r="E57" s="45"/>
      <c r="F57" s="67"/>
      <c r="G57" s="52"/>
      <c r="H57" s="53"/>
      <c r="I57" s="53"/>
    </row>
    <row r="58" ht="17.4" spans="2:9">
      <c r="B58" s="49">
        <v>5</v>
      </c>
      <c r="C58" s="45" t="s">
        <v>771</v>
      </c>
      <c r="D58" s="68" t="s">
        <v>772</v>
      </c>
      <c r="E58" s="45" t="s">
        <v>159</v>
      </c>
      <c r="F58" s="67">
        <v>63928.156459</v>
      </c>
      <c r="G58" s="52"/>
      <c r="H58" s="53"/>
      <c r="I58" s="53"/>
    </row>
    <row r="59" ht="17.4" spans="2:9">
      <c r="B59" s="49"/>
      <c r="C59" s="45"/>
      <c r="D59" s="59"/>
      <c r="E59" s="45" t="s">
        <v>311</v>
      </c>
      <c r="F59" s="67">
        <v>18.694582</v>
      </c>
      <c r="G59" s="52"/>
      <c r="H59" s="53"/>
      <c r="I59" s="53"/>
    </row>
    <row r="60" ht="17.4" spans="2:9">
      <c r="B60" s="49"/>
      <c r="C60" s="66"/>
      <c r="D60" s="68"/>
      <c r="E60" s="45" t="s">
        <v>285</v>
      </c>
      <c r="F60" s="67">
        <v>18.01652</v>
      </c>
      <c r="G60" s="52"/>
      <c r="I60" s="53"/>
    </row>
    <row r="61" ht="17.4" spans="2:6">
      <c r="B61" s="69"/>
      <c r="C61" s="70"/>
      <c r="D61" s="70"/>
      <c r="E61" s="45" t="s">
        <v>176</v>
      </c>
      <c r="F61" s="67">
        <v>0.50372</v>
      </c>
    </row>
  </sheetData>
  <mergeCells count="1">
    <mergeCell ref="B2:F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B3" sqref="B3"/>
    </sheetView>
  </sheetViews>
  <sheetFormatPr defaultColWidth="8.81481481481481" defaultRowHeight="15.6"/>
  <cols>
    <col min="1" max="1" width="20.4537037037037" style="1" customWidth="1"/>
    <col min="2" max="2" width="27.4537037037037" style="1" customWidth="1"/>
    <col min="3" max="5" width="18.2685185185185" style="1" customWidth="1"/>
    <col min="6" max="6" width="23.2685185185185" style="1" customWidth="1"/>
    <col min="7" max="7" width="27.4537037037037" style="1" customWidth="1"/>
    <col min="8" max="8" width="16.7222222222222" style="1" customWidth="1"/>
    <col min="9" max="9" width="15.2685185185185" style="1" customWidth="1"/>
    <col min="10" max="10" width="23.2685185185185" style="1" customWidth="1"/>
    <col min="11" max="11" width="16.4537037037037" style="1" customWidth="1"/>
    <col min="12" max="12" width="15.2685185185185" style="1" customWidth="1"/>
    <col min="13" max="16384" width="8.81481481481481" style="1"/>
  </cols>
  <sheetData>
    <row r="1" spans="2:7">
      <c r="B1" s="28" t="s">
        <v>773</v>
      </c>
      <c r="C1" s="28"/>
      <c r="D1" s="28"/>
      <c r="E1" s="28"/>
      <c r="F1" s="28"/>
      <c r="G1" s="28"/>
    </row>
    <row r="2" spans="2:7">
      <c r="B2" s="2" t="s">
        <v>774</v>
      </c>
      <c r="C2" s="3"/>
      <c r="D2" s="3"/>
      <c r="E2" s="3"/>
      <c r="F2" s="3"/>
      <c r="G2" s="4"/>
    </row>
    <row r="3" spans="2:7">
      <c r="B3" s="12"/>
      <c r="C3" s="12"/>
      <c r="D3" s="12"/>
      <c r="E3" s="12"/>
      <c r="F3" s="12"/>
      <c r="G3" s="12"/>
    </row>
    <row r="4" spans="2:7">
      <c r="B4" s="12" t="s">
        <v>775</v>
      </c>
      <c r="C4" s="29" t="s">
        <v>661</v>
      </c>
      <c r="D4" s="29" t="s">
        <v>662</v>
      </c>
      <c r="E4" s="29" t="s">
        <v>663</v>
      </c>
      <c r="F4" s="29" t="s">
        <v>664</v>
      </c>
      <c r="G4" s="12" t="s">
        <v>776</v>
      </c>
    </row>
    <row r="5" spans="2:11">
      <c r="B5" s="12" t="s">
        <v>777</v>
      </c>
      <c r="C5" s="13">
        <v>6685648.62037733</v>
      </c>
      <c r="D5" s="13">
        <v>6941317.6706735</v>
      </c>
      <c r="E5" s="13">
        <v>6678750.38650138</v>
      </c>
      <c r="F5" s="13">
        <v>20305716.6775522</v>
      </c>
      <c r="G5" s="13">
        <v>98.8633733143138</v>
      </c>
      <c r="H5" s="5"/>
      <c r="I5" s="5"/>
      <c r="J5" s="5"/>
      <c r="K5" s="5"/>
    </row>
    <row r="6" spans="2:11">
      <c r="B6" s="12" t="s">
        <v>778</v>
      </c>
      <c r="C6" s="13">
        <v>12187.09759813</v>
      </c>
      <c r="D6" s="13">
        <v>18125.13155803</v>
      </c>
      <c r="E6" s="13">
        <v>14989.5610254</v>
      </c>
      <c r="F6" s="13">
        <v>45301.79018156</v>
      </c>
      <c r="G6" s="13">
        <v>0.220562901849085</v>
      </c>
      <c r="H6" s="5"/>
      <c r="I6" s="5"/>
      <c r="J6" s="5"/>
      <c r="K6" s="5"/>
    </row>
    <row r="7" spans="1:11">
      <c r="A7" s="18"/>
      <c r="B7" s="12" t="s">
        <v>779</v>
      </c>
      <c r="C7" s="13">
        <v>59316.51706815</v>
      </c>
      <c r="D7" s="13">
        <v>31635.76880359</v>
      </c>
      <c r="E7" s="13">
        <v>31550.22566727</v>
      </c>
      <c r="F7" s="13">
        <v>122502.51153901</v>
      </c>
      <c r="G7" s="13">
        <v>0.596433591709216</v>
      </c>
      <c r="H7" s="5"/>
      <c r="I7" s="5"/>
      <c r="J7" s="5"/>
      <c r="K7" s="5"/>
    </row>
    <row r="8" spans="2:11">
      <c r="B8" s="12" t="s">
        <v>780</v>
      </c>
      <c r="C8" s="13">
        <v>20610.587047947</v>
      </c>
      <c r="D8" s="13">
        <v>20317.070265311</v>
      </c>
      <c r="E8" s="13">
        <v>24721.7323986</v>
      </c>
      <c r="F8" s="13">
        <v>65649.389711858</v>
      </c>
      <c r="G8" s="13">
        <v>0.319630192127879</v>
      </c>
      <c r="H8" s="5"/>
      <c r="I8" s="5"/>
      <c r="J8" s="5"/>
      <c r="K8" s="5"/>
    </row>
    <row r="9" spans="2:11">
      <c r="B9" s="30" t="s">
        <v>354</v>
      </c>
      <c r="C9" s="31">
        <v>6777762.82209156</v>
      </c>
      <c r="D9" s="31">
        <v>7011395.64130043</v>
      </c>
      <c r="E9" s="31">
        <v>6750011.90559265</v>
      </c>
      <c r="F9" s="31">
        <v>20539170.3689846</v>
      </c>
      <c r="G9" s="31">
        <v>100</v>
      </c>
      <c r="H9" s="5"/>
      <c r="I9" s="5"/>
      <c r="J9" s="5"/>
      <c r="K9" s="5"/>
    </row>
    <row r="10" spans="3:11">
      <c r="C10" s="18"/>
      <c r="D10" s="18"/>
      <c r="E10" s="18"/>
      <c r="F10" s="18"/>
      <c r="H10" s="5"/>
      <c r="I10" s="5"/>
      <c r="J10" s="5"/>
      <c r="K10" s="5"/>
    </row>
    <row r="11" spans="2:8">
      <c r="B11" s="2" t="s">
        <v>781</v>
      </c>
      <c r="C11" s="3"/>
      <c r="D11" s="3"/>
      <c r="E11" s="3"/>
      <c r="F11" s="3"/>
      <c r="G11" s="4"/>
      <c r="H11" s="5"/>
    </row>
    <row r="12" spans="2:11">
      <c r="B12" s="12"/>
      <c r="C12" s="12"/>
      <c r="D12" s="12"/>
      <c r="E12" s="12"/>
      <c r="F12" s="12"/>
      <c r="G12" s="12"/>
      <c r="H12" s="5"/>
      <c r="I12" s="5"/>
      <c r="J12" s="5"/>
      <c r="K12" s="5"/>
    </row>
    <row r="13" spans="2:10">
      <c r="B13" s="12" t="s">
        <v>775</v>
      </c>
      <c r="C13" s="29" t="s">
        <v>661</v>
      </c>
      <c r="D13" s="29" t="s">
        <v>662</v>
      </c>
      <c r="E13" s="29" t="s">
        <v>663</v>
      </c>
      <c r="F13" s="29" t="s">
        <v>664</v>
      </c>
      <c r="G13" s="12" t="s">
        <v>782</v>
      </c>
      <c r="H13" s="5"/>
      <c r="J13" s="18"/>
    </row>
    <row r="14" spans="2:11">
      <c r="B14" s="12" t="s">
        <v>777</v>
      </c>
      <c r="C14" s="13">
        <v>13041.397301</v>
      </c>
      <c r="D14" s="13">
        <v>2956.302033</v>
      </c>
      <c r="E14" s="13">
        <v>40589.258434</v>
      </c>
      <c r="F14" s="13">
        <v>56586.957768</v>
      </c>
      <c r="G14" s="32">
        <v>95.4081802895733</v>
      </c>
      <c r="H14" s="5"/>
      <c r="I14" s="6"/>
      <c r="J14" s="6"/>
      <c r="K14" s="6"/>
    </row>
    <row r="15" spans="2:11">
      <c r="B15" s="33" t="s">
        <v>778</v>
      </c>
      <c r="C15" s="13">
        <v>222.911681</v>
      </c>
      <c r="D15" s="13">
        <v>319.025106</v>
      </c>
      <c r="E15" s="13">
        <v>227.277554</v>
      </c>
      <c r="F15" s="13">
        <v>769.214341</v>
      </c>
      <c r="G15" s="32">
        <v>1.29693030730405</v>
      </c>
      <c r="H15" s="5"/>
      <c r="I15" s="6"/>
      <c r="J15" s="6"/>
      <c r="K15" s="6"/>
    </row>
    <row r="16" spans="2:11">
      <c r="B16" s="12" t="s">
        <v>779</v>
      </c>
      <c r="C16" s="13">
        <v>820.215313</v>
      </c>
      <c r="D16" s="13">
        <v>88.71854</v>
      </c>
      <c r="E16" s="13">
        <v>1045.277693</v>
      </c>
      <c r="F16" s="13">
        <v>1954.211546</v>
      </c>
      <c r="G16" s="32">
        <v>3.29488940312268</v>
      </c>
      <c r="H16" s="5"/>
      <c r="I16" s="6"/>
      <c r="J16" s="6"/>
      <c r="K16" s="6"/>
    </row>
    <row r="17" spans="2:11">
      <c r="B17" s="30" t="s">
        <v>354</v>
      </c>
      <c r="C17" s="31">
        <v>14084.524295</v>
      </c>
      <c r="D17" s="31">
        <v>3364.045679</v>
      </c>
      <c r="E17" s="31">
        <v>41861.813681</v>
      </c>
      <c r="F17" s="31">
        <v>59310.383655</v>
      </c>
      <c r="G17" s="31">
        <v>100</v>
      </c>
      <c r="H17" s="5"/>
      <c r="I17" s="5"/>
      <c r="J17" s="5"/>
      <c r="K17" s="5"/>
    </row>
    <row r="18" spans="2:10">
      <c r="B18" s="34"/>
      <c r="C18" s="34"/>
      <c r="D18" s="34"/>
      <c r="E18" s="34"/>
      <c r="F18" s="18" t="s">
        <v>783</v>
      </c>
      <c r="G18" s="18"/>
      <c r="H18" s="5"/>
      <c r="I18" s="5"/>
      <c r="J18" s="5"/>
    </row>
    <row r="19" spans="2:8">
      <c r="B19" s="2" t="s">
        <v>784</v>
      </c>
      <c r="C19" s="3"/>
      <c r="D19" s="3"/>
      <c r="E19" s="3"/>
      <c r="F19" s="3"/>
      <c r="G19" s="4"/>
      <c r="H19" s="5"/>
    </row>
    <row r="20" spans="2:8">
      <c r="B20" s="12"/>
      <c r="C20" s="12"/>
      <c r="D20" s="12"/>
      <c r="E20" s="12"/>
      <c r="F20" s="12"/>
      <c r="G20" s="12"/>
      <c r="H20" s="5"/>
    </row>
    <row r="21" spans="2:8">
      <c r="B21" s="12" t="s">
        <v>775</v>
      </c>
      <c r="C21" s="29" t="s">
        <v>661</v>
      </c>
      <c r="D21" s="29" t="s">
        <v>662</v>
      </c>
      <c r="E21" s="29" t="s">
        <v>663</v>
      </c>
      <c r="F21" s="29" t="s">
        <v>664</v>
      </c>
      <c r="G21" s="12" t="s">
        <v>665</v>
      </c>
      <c r="H21" s="5"/>
    </row>
    <row r="22" spans="2:12">
      <c r="B22" s="12" t="s">
        <v>777</v>
      </c>
      <c r="C22" s="32">
        <v>6698690.01767833</v>
      </c>
      <c r="D22" s="32">
        <v>6944273.9727065</v>
      </c>
      <c r="E22" s="32">
        <v>6719339.64493539</v>
      </c>
      <c r="F22" s="32">
        <v>20362303.6353202</v>
      </c>
      <c r="G22" s="13">
        <v>98.8534245794358</v>
      </c>
      <c r="H22" s="15"/>
      <c r="I22" s="15"/>
      <c r="J22" s="15"/>
      <c r="K22" s="15"/>
      <c r="L22" s="6"/>
    </row>
    <row r="23" spans="2:12">
      <c r="B23" s="12" t="s">
        <v>778</v>
      </c>
      <c r="C23" s="32">
        <v>12410.00927913</v>
      </c>
      <c r="D23" s="32">
        <v>18444.15666403</v>
      </c>
      <c r="E23" s="32">
        <v>15216.8385794</v>
      </c>
      <c r="F23" s="32">
        <v>46071.00452256</v>
      </c>
      <c r="G23" s="13">
        <v>0.223662148076897</v>
      </c>
      <c r="H23" s="15"/>
      <c r="I23" s="15"/>
      <c r="J23" s="15"/>
      <c r="K23" s="15"/>
      <c r="L23" s="6"/>
    </row>
    <row r="24" spans="2:12">
      <c r="B24" s="12" t="s">
        <v>779</v>
      </c>
      <c r="C24" s="32">
        <v>60136.73238115</v>
      </c>
      <c r="D24" s="32">
        <v>31724.48734359</v>
      </c>
      <c r="E24" s="32">
        <v>32595.50336027</v>
      </c>
      <c r="F24" s="32">
        <v>124456.72308501</v>
      </c>
      <c r="G24" s="13">
        <v>0.604203409851288</v>
      </c>
      <c r="H24" s="15"/>
      <c r="I24" s="15"/>
      <c r="J24" s="15"/>
      <c r="K24" s="15"/>
      <c r="L24" s="6"/>
    </row>
    <row r="25" spans="2:12">
      <c r="B25" s="12" t="s">
        <v>780</v>
      </c>
      <c r="C25" s="32">
        <v>20610.587047947</v>
      </c>
      <c r="D25" s="32">
        <v>20317.070265311</v>
      </c>
      <c r="E25" s="32">
        <v>24721.7323986</v>
      </c>
      <c r="F25" s="32">
        <v>65649.389711858</v>
      </c>
      <c r="G25" s="13">
        <v>0.318709862636084</v>
      </c>
      <c r="H25" s="15"/>
      <c r="I25" s="15"/>
      <c r="J25" s="15"/>
      <c r="K25" s="15"/>
      <c r="L25" s="6"/>
    </row>
    <row r="26" spans="2:12">
      <c r="B26" s="12" t="s">
        <v>354</v>
      </c>
      <c r="C26" s="35">
        <v>6791847.34638656</v>
      </c>
      <c r="D26" s="35">
        <v>7014759.68697943</v>
      </c>
      <c r="E26" s="35">
        <v>6791873.71927366</v>
      </c>
      <c r="F26" s="35">
        <v>20598480.7526396</v>
      </c>
      <c r="G26" s="35">
        <v>100</v>
      </c>
      <c r="H26" s="15"/>
      <c r="I26" s="15"/>
      <c r="J26" s="15"/>
      <c r="K26" s="15"/>
      <c r="L26" s="6"/>
    </row>
    <row r="27" spans="3:12">
      <c r="C27" s="34"/>
      <c r="D27" s="34"/>
      <c r="E27" s="34"/>
      <c r="F27" s="34"/>
      <c r="G27" s="36"/>
      <c r="H27" s="5"/>
      <c r="I27" s="5"/>
      <c r="J27" s="5"/>
      <c r="K27" s="5"/>
      <c r="L27" s="6"/>
    </row>
    <row r="28" spans="2:12">
      <c r="B28" s="2" t="s">
        <v>785</v>
      </c>
      <c r="C28" s="3"/>
      <c r="D28" s="3"/>
      <c r="E28" s="3"/>
      <c r="F28" s="3"/>
      <c r="G28" s="4"/>
      <c r="H28" s="5"/>
      <c r="I28" s="5"/>
      <c r="J28" s="5"/>
      <c r="K28" s="5"/>
      <c r="L28" s="6"/>
    </row>
    <row r="29" spans="2:12">
      <c r="B29" s="12" t="s">
        <v>775</v>
      </c>
      <c r="C29" s="29" t="s">
        <v>786</v>
      </c>
      <c r="D29" s="29" t="s">
        <v>787</v>
      </c>
      <c r="E29" s="29" t="s">
        <v>788</v>
      </c>
      <c r="F29" s="29" t="s">
        <v>789</v>
      </c>
      <c r="G29" s="32" t="s">
        <v>790</v>
      </c>
      <c r="H29" s="5"/>
      <c r="I29" s="5"/>
      <c r="J29" s="5"/>
      <c r="K29" s="5"/>
      <c r="L29" s="5"/>
    </row>
    <row r="30" spans="2:12">
      <c r="B30" s="12" t="s">
        <v>777</v>
      </c>
      <c r="C30" s="32">
        <v>5142341.4057797</v>
      </c>
      <c r="D30" s="32">
        <v>4905031.68492654</v>
      </c>
      <c r="E30" s="32">
        <v>4457505.75543038</v>
      </c>
      <c r="F30" s="32">
        <v>14504878.8461366</v>
      </c>
      <c r="G30" s="13">
        <v>94.027709953156</v>
      </c>
      <c r="H30" s="5"/>
      <c r="I30" s="5"/>
      <c r="J30" s="5"/>
      <c r="K30" s="5"/>
      <c r="L30" s="5"/>
    </row>
    <row r="31" spans="2:12">
      <c r="B31" s="12" t="s">
        <v>778</v>
      </c>
      <c r="C31" s="24">
        <v>29938.776415</v>
      </c>
      <c r="D31" s="24">
        <v>44872.791298</v>
      </c>
      <c r="E31" s="24">
        <v>37179.207482</v>
      </c>
      <c r="F31" s="32">
        <v>111990.775195</v>
      </c>
      <c r="G31" s="13">
        <v>0.725978909521832</v>
      </c>
      <c r="H31" s="5"/>
      <c r="I31" s="5"/>
      <c r="J31" s="5"/>
      <c r="K31" s="5"/>
      <c r="L31" s="5"/>
    </row>
    <row r="32" spans="2:12">
      <c r="B32" s="12" t="s">
        <v>779</v>
      </c>
      <c r="C32" s="24">
        <v>321448.29836</v>
      </c>
      <c r="D32" s="24">
        <v>184286.666186</v>
      </c>
      <c r="E32" s="24">
        <v>303570.159166</v>
      </c>
      <c r="F32" s="32">
        <v>809305.123712</v>
      </c>
      <c r="G32" s="13">
        <v>5.24631113732215</v>
      </c>
      <c r="H32" s="5"/>
      <c r="L32" s="5"/>
    </row>
    <row r="33" spans="2:8">
      <c r="B33" s="12" t="s">
        <v>354</v>
      </c>
      <c r="C33" s="35">
        <v>5493728.4805547</v>
      </c>
      <c r="D33" s="35">
        <v>5134191.14241054</v>
      </c>
      <c r="E33" s="35">
        <v>4798255.12207838</v>
      </c>
      <c r="F33" s="35">
        <v>15426174.7450436</v>
      </c>
      <c r="G33" s="35">
        <v>100</v>
      </c>
      <c r="H33" s="5"/>
    </row>
    <row r="34" spans="6:6">
      <c r="F34" s="37"/>
    </row>
    <row r="35" spans="3:8">
      <c r="C35" s="15"/>
      <c r="D35" s="15"/>
      <c r="E35" s="15"/>
      <c r="F35" s="15"/>
      <c r="G35" s="15"/>
      <c r="H35" s="15"/>
    </row>
    <row r="36" spans="3:8">
      <c r="C36" s="15"/>
      <c r="D36" s="15"/>
      <c r="E36" s="15"/>
      <c r="F36" s="15"/>
      <c r="G36" s="15"/>
      <c r="H36" s="15"/>
    </row>
    <row r="37" spans="3:8">
      <c r="C37" s="15"/>
      <c r="D37" s="15"/>
      <c r="E37" s="15"/>
      <c r="F37" s="15"/>
      <c r="G37" s="15"/>
      <c r="H37" s="15"/>
    </row>
    <row r="38" spans="3:7">
      <c r="C38" s="5"/>
      <c r="D38" s="5"/>
      <c r="E38" s="5"/>
      <c r="F38" s="5"/>
      <c r="G38" s="5"/>
    </row>
    <row r="39" spans="3:6">
      <c r="C39" s="5"/>
      <c r="D39" s="5"/>
      <c r="E39" s="5"/>
      <c r="F39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</sheetData>
  <mergeCells count="5">
    <mergeCell ref="B1:G1"/>
    <mergeCell ref="B2:G2"/>
    <mergeCell ref="B11:G11"/>
    <mergeCell ref="B19:G19"/>
    <mergeCell ref="B28:G28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1"/>
  <sheetViews>
    <sheetView workbookViewId="0">
      <selection activeCell="F14" sqref="F14"/>
    </sheetView>
  </sheetViews>
  <sheetFormatPr defaultColWidth="8.81481481481481" defaultRowHeight="15.6"/>
  <cols>
    <col min="1" max="1" width="8.81481481481481" style="1"/>
    <col min="2" max="2" width="9" style="1" customWidth="1"/>
    <col min="3" max="3" width="8.81481481481481" style="1"/>
    <col min="4" max="4" width="44.4537037037037" style="1" customWidth="1"/>
    <col min="5" max="5" width="19.7222222222222" style="1" customWidth="1"/>
    <col min="6" max="6" width="24.1759259259259" style="1" customWidth="1"/>
    <col min="7" max="7" width="15.1759259259259" style="1" customWidth="1"/>
    <col min="8" max="16384" width="8.81481481481481" style="1"/>
  </cols>
  <sheetData>
    <row r="2" spans="2:7">
      <c r="B2" s="2" t="s">
        <v>791</v>
      </c>
      <c r="C2" s="3"/>
      <c r="D2" s="3"/>
      <c r="E2" s="3"/>
      <c r="F2" s="4"/>
      <c r="G2" s="5"/>
    </row>
    <row r="3" spans="2:7">
      <c r="B3" s="2" t="s">
        <v>750</v>
      </c>
      <c r="C3" s="3"/>
      <c r="D3" s="3"/>
      <c r="E3" s="3"/>
      <c r="F3" s="4"/>
      <c r="G3" s="6">
        <v>20598480.7526396</v>
      </c>
    </row>
    <row r="4" spans="2:7">
      <c r="B4" s="7" t="s">
        <v>792</v>
      </c>
      <c r="C4" s="7" t="s">
        <v>147</v>
      </c>
      <c r="D4" s="7" t="s">
        <v>793</v>
      </c>
      <c r="E4" s="8" t="s">
        <v>794</v>
      </c>
      <c r="F4" s="7" t="s">
        <v>795</v>
      </c>
      <c r="G4" s="9"/>
    </row>
    <row r="5" spans="2:10">
      <c r="B5" s="10">
        <v>1</v>
      </c>
      <c r="C5" s="11" t="s">
        <v>796</v>
      </c>
      <c r="D5" s="12" t="s">
        <v>797</v>
      </c>
      <c r="E5" s="13">
        <v>17739286.5046462</v>
      </c>
      <c r="F5" s="14">
        <f>E5/$G$3*100</f>
        <v>86.1193925788578</v>
      </c>
      <c r="G5" s="15"/>
      <c r="H5" s="15"/>
      <c r="I5" s="5"/>
      <c r="J5" s="5"/>
    </row>
    <row r="6" spans="2:10">
      <c r="B6" s="10">
        <v>2</v>
      </c>
      <c r="C6" s="11" t="s">
        <v>798</v>
      </c>
      <c r="D6" s="12" t="s">
        <v>799</v>
      </c>
      <c r="E6" s="13">
        <v>1490274.38091391</v>
      </c>
      <c r="F6" s="14">
        <f t="shared" ref="F6:F14" si="0">E6/$G$3*100</f>
        <v>7.23487522604275</v>
      </c>
      <c r="G6" s="15"/>
      <c r="H6" s="15"/>
      <c r="I6" s="5"/>
      <c r="J6" s="5"/>
    </row>
    <row r="7" spans="2:10">
      <c r="B7" s="10">
        <v>3</v>
      </c>
      <c r="C7" s="11" t="s">
        <v>800</v>
      </c>
      <c r="D7" s="12" t="s">
        <v>801</v>
      </c>
      <c r="E7" s="13">
        <v>728531.38160974</v>
      </c>
      <c r="F7" s="14">
        <f t="shared" si="0"/>
        <v>3.53682094499314</v>
      </c>
      <c r="G7" s="15"/>
      <c r="H7" s="15"/>
      <c r="I7" s="5"/>
      <c r="J7" s="5"/>
    </row>
    <row r="8" spans="2:10">
      <c r="B8" s="10">
        <v>4</v>
      </c>
      <c r="C8" s="11" t="s">
        <v>802</v>
      </c>
      <c r="D8" s="12" t="s">
        <v>803</v>
      </c>
      <c r="E8" s="13">
        <v>303622.16698823</v>
      </c>
      <c r="F8" s="14">
        <f t="shared" si="0"/>
        <v>1.47400272201784</v>
      </c>
      <c r="G8" s="15"/>
      <c r="H8" s="15"/>
      <c r="I8" s="5"/>
      <c r="J8" s="5"/>
    </row>
    <row r="9" spans="2:10">
      <c r="B9" s="10">
        <v>5</v>
      </c>
      <c r="C9" s="11" t="s">
        <v>804</v>
      </c>
      <c r="D9" s="12" t="s">
        <v>805</v>
      </c>
      <c r="E9" s="13">
        <v>114082.69857868</v>
      </c>
      <c r="F9" s="14">
        <f t="shared" si="0"/>
        <v>0.553840353318585</v>
      </c>
      <c r="G9" s="15"/>
      <c r="H9" s="15"/>
      <c r="I9" s="5"/>
      <c r="J9" s="5"/>
    </row>
    <row r="10" spans="2:10">
      <c r="B10" s="10">
        <v>6</v>
      </c>
      <c r="C10" s="11" t="s">
        <v>806</v>
      </c>
      <c r="D10" s="12" t="s">
        <v>807</v>
      </c>
      <c r="E10" s="13">
        <v>94068.43032455</v>
      </c>
      <c r="F10" s="14">
        <f t="shared" si="0"/>
        <v>0.456676545489868</v>
      </c>
      <c r="G10" s="15"/>
      <c r="H10" s="15"/>
      <c r="I10" s="5"/>
      <c r="J10" s="5"/>
    </row>
    <row r="11" spans="2:10">
      <c r="B11" s="10">
        <v>7</v>
      </c>
      <c r="C11" s="11" t="s">
        <v>808</v>
      </c>
      <c r="D11" s="12" t="s">
        <v>809</v>
      </c>
      <c r="E11" s="13">
        <v>55981.9553068</v>
      </c>
      <c r="F11" s="14">
        <f t="shared" si="0"/>
        <v>0.271777108123016</v>
      </c>
      <c r="G11" s="15"/>
      <c r="H11" s="15"/>
      <c r="I11" s="5"/>
      <c r="J11" s="5"/>
    </row>
    <row r="12" spans="2:10">
      <c r="B12" s="10">
        <v>8</v>
      </c>
      <c r="C12" s="11" t="s">
        <v>810</v>
      </c>
      <c r="D12" s="12" t="s">
        <v>811</v>
      </c>
      <c r="E12" s="13">
        <v>27253.9456769</v>
      </c>
      <c r="F12" s="14">
        <f t="shared" si="0"/>
        <v>0.132310465049261</v>
      </c>
      <c r="G12" s="15"/>
      <c r="H12" s="16"/>
      <c r="I12" s="5"/>
      <c r="J12" s="5"/>
    </row>
    <row r="13" spans="2:10">
      <c r="B13" s="10">
        <v>9</v>
      </c>
      <c r="C13" s="11" t="s">
        <v>812</v>
      </c>
      <c r="D13" s="12" t="s">
        <v>813</v>
      </c>
      <c r="E13" s="13">
        <v>9847.38726676</v>
      </c>
      <c r="F13" s="14">
        <f t="shared" si="0"/>
        <v>0.0478063765236574</v>
      </c>
      <c r="G13" s="15"/>
      <c r="H13" s="15"/>
      <c r="I13" s="5"/>
      <c r="J13" s="5"/>
    </row>
    <row r="14" spans="2:10">
      <c r="B14" s="10">
        <v>10</v>
      </c>
      <c r="C14" s="11" t="s">
        <v>814</v>
      </c>
      <c r="D14" s="12" t="s">
        <v>815</v>
      </c>
      <c r="E14" s="13">
        <v>8114.21030068</v>
      </c>
      <c r="F14" s="14">
        <f t="shared" si="0"/>
        <v>0.0393922755669259</v>
      </c>
      <c r="G14" s="15"/>
      <c r="H14" s="15"/>
      <c r="I14" s="5"/>
      <c r="J14" s="5"/>
    </row>
    <row r="15" spans="4:7">
      <c r="D15" s="17"/>
      <c r="E15" s="18"/>
      <c r="F15" s="18"/>
      <c r="G15" s="19"/>
    </row>
    <row r="16" spans="2:7">
      <c r="B16" s="20" t="s">
        <v>767</v>
      </c>
      <c r="C16" s="21"/>
      <c r="D16" s="21"/>
      <c r="E16" s="21"/>
      <c r="F16" s="22"/>
      <c r="G16" s="19"/>
    </row>
    <row r="17" spans="2:7">
      <c r="B17" s="7" t="s">
        <v>792</v>
      </c>
      <c r="C17" s="7" t="s">
        <v>147</v>
      </c>
      <c r="D17" s="7" t="s">
        <v>793</v>
      </c>
      <c r="E17" s="23" t="s">
        <v>794</v>
      </c>
      <c r="F17" s="7" t="s">
        <v>816</v>
      </c>
      <c r="G17" s="19">
        <v>15426174.7450436</v>
      </c>
    </row>
    <row r="18" spans="2:10">
      <c r="B18" s="10">
        <v>1</v>
      </c>
      <c r="C18" s="11" t="s">
        <v>796</v>
      </c>
      <c r="D18" s="12" t="s">
        <v>797</v>
      </c>
      <c r="E18" s="24">
        <v>8054618.09913462</v>
      </c>
      <c r="F18" s="25">
        <f>E18/$G$17*100</f>
        <v>52.2139689991684</v>
      </c>
      <c r="H18" s="15"/>
      <c r="I18" s="5"/>
      <c r="J18" s="5"/>
    </row>
    <row r="19" spans="2:10">
      <c r="B19" s="10">
        <v>2</v>
      </c>
      <c r="C19" s="11" t="s">
        <v>798</v>
      </c>
      <c r="D19" s="12" t="s">
        <v>799</v>
      </c>
      <c r="E19" s="24">
        <v>1947839.078585</v>
      </c>
      <c r="F19" s="25">
        <f t="shared" ref="F19:F27" si="1">E19/$G$17*100</f>
        <v>12.6268443783242</v>
      </c>
      <c r="G19" s="15"/>
      <c r="H19" s="15"/>
      <c r="I19" s="5"/>
      <c r="J19" s="5"/>
    </row>
    <row r="20" spans="2:10">
      <c r="B20" s="10">
        <v>3</v>
      </c>
      <c r="C20" s="11" t="s">
        <v>802</v>
      </c>
      <c r="D20" s="12" t="s">
        <v>803</v>
      </c>
      <c r="E20" s="24">
        <v>1695140.342971</v>
      </c>
      <c r="F20" s="25">
        <f t="shared" si="1"/>
        <v>10.9887277370279</v>
      </c>
      <c r="G20" s="15"/>
      <c r="H20" s="15"/>
      <c r="I20" s="5"/>
      <c r="J20" s="5"/>
    </row>
    <row r="21" spans="2:10">
      <c r="B21" s="10">
        <v>4</v>
      </c>
      <c r="C21" s="11" t="s">
        <v>800</v>
      </c>
      <c r="D21" s="12" t="s">
        <v>801</v>
      </c>
      <c r="E21" s="26">
        <v>1295559.35661</v>
      </c>
      <c r="F21" s="25">
        <f t="shared" si="1"/>
        <v>8.39844859806388</v>
      </c>
      <c r="G21" s="15"/>
      <c r="H21" s="15"/>
      <c r="I21" s="5"/>
      <c r="J21" s="5"/>
    </row>
    <row r="22" spans="2:10">
      <c r="B22" s="10">
        <v>5</v>
      </c>
      <c r="C22" s="11" t="s">
        <v>817</v>
      </c>
      <c r="D22" s="12" t="s">
        <v>818</v>
      </c>
      <c r="E22" s="24">
        <v>533828.630566</v>
      </c>
      <c r="F22" s="25">
        <f t="shared" si="1"/>
        <v>3.46053794533552</v>
      </c>
      <c r="G22" s="15"/>
      <c r="H22" s="15"/>
      <c r="I22" s="5"/>
      <c r="J22" s="5"/>
    </row>
    <row r="23" spans="2:10">
      <c r="B23" s="10">
        <v>6</v>
      </c>
      <c r="C23" s="11" t="s">
        <v>806</v>
      </c>
      <c r="D23" s="12" t="s">
        <v>807</v>
      </c>
      <c r="E23" s="24">
        <v>372206.777645</v>
      </c>
      <c r="F23" s="25">
        <f t="shared" si="1"/>
        <v>2.41282614644689</v>
      </c>
      <c r="G23" s="15"/>
      <c r="H23" s="15"/>
      <c r="I23" s="5"/>
      <c r="J23" s="5"/>
    </row>
    <row r="24" spans="2:10">
      <c r="B24" s="10">
        <v>7</v>
      </c>
      <c r="C24" s="11" t="s">
        <v>808</v>
      </c>
      <c r="D24" s="12" t="s">
        <v>809</v>
      </c>
      <c r="E24" s="24">
        <v>293458.291001</v>
      </c>
      <c r="F24" s="25">
        <f t="shared" si="1"/>
        <v>1.90233998934368</v>
      </c>
      <c r="G24" s="15"/>
      <c r="H24" s="15"/>
      <c r="I24" s="5"/>
      <c r="J24" s="5"/>
    </row>
    <row r="25" spans="2:10">
      <c r="B25" s="10">
        <v>8</v>
      </c>
      <c r="C25" s="11" t="s">
        <v>819</v>
      </c>
      <c r="D25" s="12" t="s">
        <v>820</v>
      </c>
      <c r="E25" s="24">
        <v>258633.965788</v>
      </c>
      <c r="F25" s="25">
        <f t="shared" si="1"/>
        <v>1.67659170249642</v>
      </c>
      <c r="G25" s="15"/>
      <c r="H25" s="15"/>
      <c r="I25" s="5"/>
      <c r="J25" s="5"/>
    </row>
    <row r="26" spans="2:10">
      <c r="B26" s="10">
        <v>9</v>
      </c>
      <c r="C26" s="11" t="s">
        <v>814</v>
      </c>
      <c r="D26" s="12" t="s">
        <v>815</v>
      </c>
      <c r="E26" s="24">
        <v>140595.499746</v>
      </c>
      <c r="F26" s="25">
        <f t="shared" si="1"/>
        <v>0.911408706757797</v>
      </c>
      <c r="G26" s="15"/>
      <c r="H26" s="15"/>
      <c r="I26" s="5"/>
      <c r="J26" s="5"/>
    </row>
    <row r="27" spans="2:10">
      <c r="B27" s="10">
        <v>10</v>
      </c>
      <c r="C27" s="11" t="s">
        <v>804</v>
      </c>
      <c r="D27" s="12" t="s">
        <v>805</v>
      </c>
      <c r="E27" s="24">
        <v>130807.487543</v>
      </c>
      <c r="F27" s="25">
        <f t="shared" si="1"/>
        <v>0.847958030457473</v>
      </c>
      <c r="G27" s="15"/>
      <c r="H27" s="15"/>
      <c r="I27" s="5"/>
      <c r="J27" s="5"/>
    </row>
    <row r="28" spans="3:6">
      <c r="C28" s="27"/>
      <c r="E28" s="18"/>
      <c r="F28" s="18"/>
    </row>
    <row r="29" spans="3:6">
      <c r="C29" s="27"/>
      <c r="E29" s="18"/>
      <c r="F29" s="18"/>
    </row>
    <row r="30" spans="3:6">
      <c r="C30" s="27"/>
      <c r="E30" s="18"/>
      <c r="F30" s="18"/>
    </row>
    <row r="31" spans="3:5">
      <c r="C31" s="27"/>
      <c r="E31" s="18"/>
    </row>
  </sheetData>
  <mergeCells count="3">
    <mergeCell ref="B2:F2"/>
    <mergeCell ref="B3:F3"/>
    <mergeCell ref="B16:F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PRODUCT RANKING</vt:lpstr>
      <vt:lpstr>COUNTRY RANKING</vt:lpstr>
      <vt:lpstr>RE-EXPORT TABLE</vt:lpstr>
      <vt:lpstr>TABLE 1</vt:lpstr>
      <vt:lpstr>TABLE 2</vt:lpstr>
      <vt:lpstr>TABLE 3</vt:lpstr>
      <vt:lpstr>TABLE 4</vt:lpstr>
      <vt:lpstr>TABLE 5</vt:lpstr>
      <vt:lpstr>TABLE 5B</vt:lpstr>
      <vt:lpstr>TABLE 5C</vt:lpstr>
      <vt:lpstr>TABLE 6</vt:lpstr>
      <vt:lpstr>TABLE 7</vt:lpstr>
      <vt:lpstr>TABLE 8</vt:lpstr>
      <vt:lpstr>TABLE 9</vt:lpstr>
      <vt:lpstr>TABLE 10</vt:lpstr>
      <vt:lpstr>TABLE 13</vt:lpstr>
      <vt:lpstr>TABLE 14</vt:lpstr>
      <vt:lpstr>TABLE 14A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 AIMOLA</dc:creator>
  <cp:lastModifiedBy>Jibrin Abdullahi</cp:lastModifiedBy>
  <dcterms:created xsi:type="dcterms:W3CDTF">2024-05-23T10:49:00Z</dcterms:created>
  <dcterms:modified xsi:type="dcterms:W3CDTF">2025-06-11T12:34:01Z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011E94B3CD954E39A8E8FBBF1ED09E6E_12</vt:lpwstr>
  </property>
  <property fmtid="{D5CDD505-2E9C-101B-9397-08002B2CF9AE}" pid="3" name="KSOProductBuildVer">
    <vt:lpwstr>1033-12.2.0.21179</vt:lpwstr>
  </property>
</Properties>
</file>